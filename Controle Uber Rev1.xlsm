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mateu\OneDrive\Área de Trabalho\Projeto UBER\"/>
    </mc:Choice>
  </mc:AlternateContent>
  <xr:revisionPtr revIDLastSave="0" documentId="13_ncr:1_{230C1E87-18C9-4D29-B378-51B251FFB11B}" xr6:coauthVersionLast="47" xr6:coauthVersionMax="47" xr10:uidLastSave="{00000000-0000-0000-0000-000000000000}"/>
  <bookViews>
    <workbookView xWindow="-120" yWindow="-120" windowWidth="29040" windowHeight="15990" xr2:uid="{55C56F11-E2C4-4427-9E49-14659DBA679D}"/>
  </bookViews>
  <sheets>
    <sheet name="Cadastro" sheetId="9" r:id="rId1"/>
    <sheet name="CadastroGanhos" sheetId="6" r:id="rId2"/>
    <sheet name="CadastroDespesas" sheetId="7" r:id="rId3"/>
    <sheet name="Ganhos" sheetId="1" r:id="rId4"/>
    <sheet name="Despesas" sheetId="2" r:id="rId5"/>
    <sheet name="Metas" sheetId="4" r:id="rId6"/>
    <sheet name="Dashboard" sheetId="10" state="hidden" r:id="rId7"/>
    <sheet name="AbaDeApoio" sheetId="8" state="hidden" r:id="rId8"/>
  </sheets>
  <definedNames>
    <definedName name="Tela" localSheetId="0">Cadastro!$A$1:$O$23</definedName>
    <definedName name="Tela" localSheetId="2">CadastroDespesas!$A$1:$O$23</definedName>
    <definedName name="Tela" localSheetId="1">CadastroGanhos!$A$1:$O$23</definedName>
  </definedNames>
  <calcPr calcId="191028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9" i="4" l="1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E9" i="4"/>
  <c r="L9" i="4" s="1"/>
  <c r="E8" i="4"/>
  <c r="L8" i="4" s="1"/>
  <c r="E7" i="4"/>
  <c r="E6" i="4"/>
  <c r="H8" i="4"/>
  <c r="H9" i="4"/>
  <c r="H7" i="4"/>
  <c r="H6" i="4"/>
  <c r="H5" i="4"/>
  <c r="E5" i="4" s="1"/>
  <c r="L5" i="4" s="1"/>
  <c r="H4" i="4"/>
  <c r="E4" i="4" s="1"/>
  <c r="H3" i="4"/>
  <c r="E3" i="4" s="1"/>
  <c r="I5" i="4"/>
  <c r="J5" i="4" s="1"/>
  <c r="K5" i="4" s="1"/>
  <c r="I6" i="4"/>
  <c r="J6" i="4" s="1"/>
  <c r="K6" i="4" s="1"/>
  <c r="F3" i="4"/>
  <c r="F4" i="4"/>
  <c r="F5" i="4"/>
  <c r="F6" i="4"/>
  <c r="F7" i="4"/>
  <c r="F8" i="4"/>
  <c r="F9" i="4"/>
  <c r="F10" i="4"/>
  <c r="F11" i="4"/>
  <c r="F12" i="4"/>
  <c r="F13" i="4"/>
  <c r="F14" i="4"/>
  <c r="G3" i="4"/>
  <c r="K7" i="10"/>
  <c r="H7" i="10" s="1"/>
  <c r="I7" i="4"/>
  <c r="G4" i="4"/>
  <c r="G5" i="4"/>
  <c r="G6" i="4"/>
  <c r="G7" i="4"/>
  <c r="G8" i="4"/>
  <c r="G10" i="4"/>
  <c r="G11" i="4"/>
  <c r="G12" i="4"/>
  <c r="G13" i="4"/>
  <c r="G14" i="4"/>
  <c r="I4" i="4"/>
  <c r="J4" i="4" s="1"/>
  <c r="K4" i="4" s="1"/>
  <c r="J7" i="4"/>
  <c r="K7" i="4" s="1"/>
  <c r="I8" i="4"/>
  <c r="J8" i="4" s="1"/>
  <c r="K8" i="4" s="1"/>
  <c r="I9" i="4"/>
  <c r="J9" i="4" s="1"/>
  <c r="K9" i="4" s="1"/>
  <c r="H13" i="4"/>
  <c r="E13" i="4" s="1"/>
  <c r="L13" i="4" s="1"/>
  <c r="H12" i="4"/>
  <c r="E12" i="4" s="1"/>
  <c r="L12" i="4" s="1"/>
  <c r="H11" i="4"/>
  <c r="E11" i="4" s="1"/>
  <c r="L11" i="4" s="1"/>
  <c r="H10" i="4"/>
  <c r="E10" i="4" s="1"/>
  <c r="L10" i="4" s="1"/>
  <c r="H14" i="4"/>
  <c r="E14" i="4" s="1"/>
  <c r="L14" i="4" s="1"/>
  <c r="L6" i="4" l="1"/>
  <c r="L7" i="4"/>
  <c r="L3" i="4"/>
  <c r="L4" i="4"/>
  <c r="I14" i="4"/>
  <c r="J14" i="4" s="1"/>
  <c r="K14" i="4" s="1"/>
  <c r="I13" i="4"/>
  <c r="J13" i="4" s="1"/>
  <c r="K13" i="4" s="1"/>
  <c r="I12" i="4"/>
  <c r="J12" i="4" s="1"/>
  <c r="K12" i="4" s="1"/>
  <c r="I11" i="4"/>
  <c r="J11" i="4" s="1"/>
  <c r="K11" i="4" s="1"/>
  <c r="I3" i="4"/>
  <c r="J3" i="4" s="1"/>
  <c r="K3" i="4" s="1"/>
  <c r="I10" i="4"/>
  <c r="J10" i="4" s="1"/>
  <c r="K10" i="4" s="1"/>
  <c r="C82" i="2" l="1"/>
  <c r="C84" i="2"/>
  <c r="C86" i="2"/>
  <c r="C88" i="2"/>
  <c r="C90" i="2"/>
  <c r="C92" i="2"/>
  <c r="C94" i="2"/>
  <c r="C96" i="2"/>
  <c r="C98" i="2"/>
  <c r="C100" i="2"/>
  <c r="C102" i="2"/>
  <c r="C104" i="2"/>
  <c r="C106" i="2"/>
  <c r="C108" i="2"/>
  <c r="C110" i="2"/>
  <c r="C112" i="2"/>
  <c r="C114" i="2"/>
  <c r="C116" i="2"/>
  <c r="C118" i="2"/>
  <c r="C120" i="2"/>
  <c r="C122" i="2"/>
  <c r="C124" i="2"/>
  <c r="C126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D1FC120-22EC-4AB3-B6FB-0B411B0473DE}" keepAlive="1" name="Consulta - Tabela3" description="Conexão com a consulta 'Tabela3' na pasta de trabalho." type="5" refreshedVersion="8" background="1" saveData="1">
    <dbPr connection="Provider=Microsoft.Mashup.OleDb.1;Data Source=$Workbook$;Location=Tabela3;Extended Properties=&quot;&quot;" command="SELECT * FROM [Tabela3]"/>
  </connection>
  <connection id="2" xr16:uid="{CCA49DE2-D3DF-4448-ADFA-8AE56C0A1292}" keepAlive="1" name="Consulta - Tabela3 (2)" description="Conexão com a consulta 'Tabela3 (2)' na pasta de trabalho." type="5" refreshedVersion="0" background="1" saveData="1">
    <dbPr connection="Provider=Microsoft.Mashup.OleDb.1;Data Source=$Workbook$;Location=&quot;Tabela3 (2)&quot;;Extended Properties=&quot;&quot;" command="SELECT * FROM [Tabela3 (2)]"/>
  </connection>
</connections>
</file>

<file path=xl/sharedStrings.xml><?xml version="1.0" encoding="utf-8"?>
<sst xmlns="http://schemas.openxmlformats.org/spreadsheetml/2006/main" count="292" uniqueCount="47">
  <si>
    <t>Data_Ganhos</t>
  </si>
  <si>
    <t>Faturamento</t>
  </si>
  <si>
    <t>Viagens</t>
  </si>
  <si>
    <t>Qnt_Horas</t>
  </si>
  <si>
    <t>KMs</t>
  </si>
  <si>
    <t>Desc_Ganhos</t>
  </si>
  <si>
    <t>Uber</t>
  </si>
  <si>
    <t>Caixinha</t>
  </si>
  <si>
    <t>Data_Despesas</t>
  </si>
  <si>
    <t>Gastos</t>
  </si>
  <si>
    <t>Desc_Gastos</t>
  </si>
  <si>
    <t>Abastecimento</t>
  </si>
  <si>
    <t>Mês</t>
  </si>
  <si>
    <t>Faturamento_Meta</t>
  </si>
  <si>
    <t>Lucro_Meta</t>
  </si>
  <si>
    <t>Despesas_Aluguel</t>
  </si>
  <si>
    <t>Despesas_Gas</t>
  </si>
  <si>
    <t>Despesas_Gerais</t>
  </si>
  <si>
    <t>Qnt. Semanas</t>
  </si>
  <si>
    <t>Semana</t>
  </si>
  <si>
    <t>Dia</t>
  </si>
  <si>
    <t>Dia_Despesas</t>
  </si>
  <si>
    <t>Mês_Num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</si>
  <si>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</si>
  <si>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</si>
  <si>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</si>
  <si>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</si>
  <si>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</si>
  <si>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</si>
  <si>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</si>
  <si>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</si>
  <si>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</si>
  <si>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</si>
  <si>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</si>
  <si>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</si>
  <si>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Data:</t>
  </si>
  <si>
    <t>Meta:</t>
  </si>
  <si>
    <t>ComboBox Ganhos</t>
  </si>
  <si>
    <t>ComboBox Despesas</t>
  </si>
  <si>
    <t>Café</t>
  </si>
  <si>
    <t>Limpeza</t>
  </si>
  <si>
    <t>Particular</t>
  </si>
  <si>
    <t>Multa</t>
  </si>
  <si>
    <t>Refeição</t>
  </si>
  <si>
    <t>Mês Meta</t>
  </si>
  <si>
    <t xml:space="preserve"> </t>
  </si>
  <si>
    <t>Aluguel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</si>
</sst>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R$&quot;* #,##0.00_);_(&quot;R$&quot;* \(#,##0.00\);_(&quot;R$&quot;* &quot;-&quot;??_);_(@_)"/>
    <numFmt numFmtId="165" formatCode="&quot;R$&quot;\ #,##0.00"/>
    <numFmt numFmtId="166" formatCode="[$-F400]h:mm:ss\ AM/PM"/>
    <numFmt numFmtId="167" formatCode="0.0"/>
    <numFmt numFmtId="168" formatCode="h:mm;@"/>
  </numFmts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color rgb="FF000000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1F4F9"/>
        <bgColor indexed="64"/>
      </patternFill>
    </fill>
    <fill>
      <patternFill patternType="solid">
        <fgColor rgb="FF2686EA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23">
    <xf numFmtId="0" fontId="0" fillId="0" borderId="0" xfId="0"/>
    <xf numFmtId="14" fontId="0" fillId="0" borderId="0" xfId="0" applyNumberFormat="1"/>
    <xf numFmtId="165" fontId="0" fillId="0" borderId="0" xfId="0" applyNumberFormat="1"/>
    <xf numFmtId="166" fontId="0" fillId="0" borderId="0" xfId="0" applyNumberFormat="1"/>
    <xf numFmtId="165" fontId="0" fillId="0" borderId="0" xfId="0" applyNumberFormat="1" applyAlignment="1">
      <alignment horizontal="center"/>
    </xf>
    <xf numFmtId="0" fontId="0" fillId="2" borderId="0" xfId="0" applyFill="1"/>
    <xf numFmtId="0" fontId="0" fillId="0" borderId="0" xfId="0" applyAlignment="1">
      <alignment horizontal="left"/>
    </xf>
    <xf numFmtId="164" fontId="0" fillId="0" borderId="0" xfId="1" applyFont="1"/>
    <xf numFmtId="0" fontId="0" fillId="3" borderId="0" xfId="0" applyFill="1"/>
    <xf numFmtId="168" fontId="0" fillId="0" borderId="0" xfId="0" applyNumberFormat="1"/>
    <xf numFmtId="164" fontId="0" fillId="0" borderId="0" xfId="0" applyNumberFormat="1"/>
    <xf numFmtId="167" fontId="0" fillId="0" borderId="0" xfId="0" applyNumberFormat="1" applyAlignment="1">
      <alignment horizontal="center"/>
    </xf>
    <xf numFmtId="0" fontId="0" fillId="3" borderId="1" xfId="0" applyFill="1" applyBorder="1" applyAlignment="1">
      <alignment horizontal="center"/>
    </xf>
    <xf numFmtId="164" fontId="4" fillId="4" borderId="2" xfId="1" applyFont="1" applyFill="1" applyBorder="1" applyAlignment="1">
      <alignment horizontal="center" vertical="center"/>
    </xf>
    <xf numFmtId="164" fontId="4" fillId="4" borderId="4" xfId="1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14" fontId="3" fillId="4" borderId="6" xfId="0" applyNumberFormat="1" applyFont="1" applyFill="1" applyBorder="1" applyAlignment="1">
      <alignment horizontal="center" vertical="center"/>
    </xf>
    <xf numFmtId="14" fontId="3" fillId="4" borderId="2" xfId="0" applyNumberFormat="1" applyFont="1" applyFill="1" applyBorder="1" applyAlignment="1">
      <alignment horizontal="center" vertical="center"/>
    </xf>
    <xf numFmtId="14" fontId="3" fillId="4" borderId="3" xfId="0" applyNumberFormat="1" applyFont="1" applyFill="1" applyBorder="1" applyAlignment="1">
      <alignment horizontal="center" vertical="center"/>
    </xf>
    <xf numFmtId="14" fontId="3" fillId="4" borderId="4" xfId="0" applyNumberFormat="1" applyFont="1" applyFill="1" applyBorder="1" applyAlignment="1">
      <alignment horizontal="center" vertical="center"/>
    </xf>
  </cellXfs>
  <cellStyles count="2">
    <cellStyle name="Moeda" xfId="1" builtinId="4"/>
    <cellStyle name="Normal" xfId="0" builtinId="0"/>
  </cellStyles>
  <dxfs count="7">
    <dxf>
      <numFmt numFmtId="164" formatCode="_(&quot;R$&quot;* #,##0.00_);_(&quot;R$&quot;* \(#,##0.00\);_(&quot;R$&quot;* &quot;-&quot;??_);_(@_)"/>
    </dxf>
    <dxf>
      <numFmt numFmtId="169" formatCode="m/d/yyyy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168" formatCode="h:mm;@"/>
    </dxf>
    <dxf>
      <numFmt numFmtId="0" formatCode="General"/>
    </dxf>
    <dxf>
      <numFmt numFmtId="169" formatCode="m/d/yyyy"/>
    </dxf>
  </dxfs>
  <tableStyles count="0" defaultTableStyle="TableStyleMedium2" defaultPivotStyle="PivotStyleLight16"/>
  <colors>
    <mruColors>
      <color rgb="FF2686EA"/>
      <color rgb="FFF1F4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Label" lockText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Label" lockText="1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svg"/><Relationship Id="rId13" Type="http://schemas.openxmlformats.org/officeDocument/2006/relationships/image" Target="../media/image10.svg"/><Relationship Id="rId3" Type="http://schemas.openxmlformats.org/officeDocument/2006/relationships/hyperlink" Target="#Cadastro!A1"/><Relationship Id="rId7" Type="http://schemas.openxmlformats.org/officeDocument/2006/relationships/image" Target="../media/image5.png"/><Relationship Id="rId12" Type="http://schemas.openxmlformats.org/officeDocument/2006/relationships/image" Target="../media/image9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hyperlink" Target="#CadastroGanhos!A1"/><Relationship Id="rId11" Type="http://schemas.openxmlformats.org/officeDocument/2006/relationships/image" Target="../media/image8.svg"/><Relationship Id="rId5" Type="http://schemas.openxmlformats.org/officeDocument/2006/relationships/image" Target="../media/image4.svg"/><Relationship Id="rId10" Type="http://schemas.openxmlformats.org/officeDocument/2006/relationships/image" Target="../media/image7.png"/><Relationship Id="rId4" Type="http://schemas.openxmlformats.org/officeDocument/2006/relationships/image" Target="../media/image3.png"/><Relationship Id="rId9" Type="http://schemas.openxmlformats.org/officeDocument/2006/relationships/hyperlink" Target="#CadastroDespesas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4.svg"/><Relationship Id="rId7" Type="http://schemas.openxmlformats.org/officeDocument/2006/relationships/image" Target="../media/image7.png"/><Relationship Id="rId12" Type="http://schemas.openxmlformats.org/officeDocument/2006/relationships/image" Target="../media/image2.svg"/><Relationship Id="rId2" Type="http://schemas.openxmlformats.org/officeDocument/2006/relationships/image" Target="../media/image3.png"/><Relationship Id="rId1" Type="http://schemas.openxmlformats.org/officeDocument/2006/relationships/hyperlink" Target="#Cadastro!A1"/><Relationship Id="rId6" Type="http://schemas.openxmlformats.org/officeDocument/2006/relationships/hyperlink" Target="#CadastroDespesas!A1"/><Relationship Id="rId11" Type="http://schemas.openxmlformats.org/officeDocument/2006/relationships/image" Target="../media/image1.png"/><Relationship Id="rId5" Type="http://schemas.openxmlformats.org/officeDocument/2006/relationships/image" Target="../media/image22.svg"/><Relationship Id="rId10" Type="http://schemas.openxmlformats.org/officeDocument/2006/relationships/image" Target="../media/image10.svg"/><Relationship Id="rId4" Type="http://schemas.openxmlformats.org/officeDocument/2006/relationships/image" Target="../media/image21.png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svg"/><Relationship Id="rId3" Type="http://schemas.openxmlformats.org/officeDocument/2006/relationships/image" Target="../media/image4.svg"/><Relationship Id="rId7" Type="http://schemas.openxmlformats.org/officeDocument/2006/relationships/image" Target="../media/image27.png"/><Relationship Id="rId12" Type="http://schemas.openxmlformats.org/officeDocument/2006/relationships/image" Target="../media/image2.svg"/><Relationship Id="rId2" Type="http://schemas.openxmlformats.org/officeDocument/2006/relationships/image" Target="../media/image3.png"/><Relationship Id="rId1" Type="http://schemas.openxmlformats.org/officeDocument/2006/relationships/hyperlink" Target="#Cadastro!A1"/><Relationship Id="rId6" Type="http://schemas.openxmlformats.org/officeDocument/2006/relationships/image" Target="../media/image6.svg"/><Relationship Id="rId11" Type="http://schemas.openxmlformats.org/officeDocument/2006/relationships/image" Target="../media/image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hyperlink" Target="#CadastroGanhos!A1"/><Relationship Id="rId9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hyperlink" Target="#CadastroGanhos!A1"/><Relationship Id="rId7" Type="http://schemas.openxmlformats.org/officeDocument/2006/relationships/image" Target="../media/image7.pn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6" Type="http://schemas.openxmlformats.org/officeDocument/2006/relationships/hyperlink" Target="#CadastroDespesas!A1"/><Relationship Id="rId5" Type="http://schemas.openxmlformats.org/officeDocument/2006/relationships/image" Target="../media/image6.svg"/><Relationship Id="rId10" Type="http://schemas.openxmlformats.org/officeDocument/2006/relationships/image" Target="../media/image10.svg"/><Relationship Id="rId4" Type="http://schemas.openxmlformats.org/officeDocument/2006/relationships/image" Target="../media/image5.png"/><Relationship Id="rId9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3" Type="http://schemas.openxmlformats.org/officeDocument/2006/relationships/image" Target="../media/image13.emf"/><Relationship Id="rId7" Type="http://schemas.openxmlformats.org/officeDocument/2006/relationships/image" Target="../media/image17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6.emf"/><Relationship Id="rId5" Type="http://schemas.openxmlformats.org/officeDocument/2006/relationships/image" Target="../media/image15.emf"/><Relationship Id="rId10" Type="http://schemas.openxmlformats.org/officeDocument/2006/relationships/image" Target="../media/image20.emf"/><Relationship Id="rId4" Type="http://schemas.openxmlformats.org/officeDocument/2006/relationships/image" Target="../media/image14.emf"/><Relationship Id="rId9" Type="http://schemas.openxmlformats.org/officeDocument/2006/relationships/image" Target="../media/image19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13.emf"/><Relationship Id="rId1" Type="http://schemas.openxmlformats.org/officeDocument/2006/relationships/image" Target="../media/image11.emf"/><Relationship Id="rId6" Type="http://schemas.openxmlformats.org/officeDocument/2006/relationships/image" Target="../media/image25.emf"/><Relationship Id="rId5" Type="http://schemas.openxmlformats.org/officeDocument/2006/relationships/image" Target="../media/image24.emf"/><Relationship Id="rId4" Type="http://schemas.openxmlformats.org/officeDocument/2006/relationships/image" Target="../media/image23.emf"/><Relationship Id="rId9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99391</xdr:colOff>
      <xdr:row>8</xdr:row>
      <xdr:rowOff>8283</xdr:rowOff>
    </xdr:from>
    <xdr:to>
      <xdr:col>17</xdr:col>
      <xdr:colOff>41412</xdr:colOff>
      <xdr:row>30</xdr:row>
      <xdr:rowOff>57978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756991" y="1532283"/>
          <a:ext cx="5006009" cy="275396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176086</xdr:colOff>
      <xdr:row>11</xdr:row>
      <xdr:rowOff>38101</xdr:rowOff>
    </xdr:from>
    <xdr:to>
      <xdr:col>0</xdr:col>
      <xdr:colOff>461836</xdr:colOff>
      <xdr:row>12</xdr:row>
      <xdr:rowOff>133351</xdr:rowOff>
    </xdr:to>
    <xdr:pic>
      <xdr:nvPicPr>
        <xdr:cNvPr id="15" name="Gráfico 14" descr="Gráfico de tendência descendente com preenchimento sólido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176086" y="2133601"/>
          <a:ext cx="285750" cy="2857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15</xdr:col>
      <xdr:colOff>0</xdr:colOff>
      <xdr:row>23</xdr:row>
      <xdr:rowOff>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0" y="0"/>
          <a:ext cx="8755673" cy="4327464"/>
          <a:chOff x="0" y="0"/>
          <a:chExt cx="8763000" cy="4286250"/>
        </a:xfrm>
      </xdr:grpSpPr>
      <xdr:sp macro="" textlink="">
        <xdr:nvSpPr>
          <xdr:cNvPr id="2" name="Retângulo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0" y="795129"/>
            <a:ext cx="8760929" cy="3491121"/>
          </a:xfrm>
          <a:prstGeom prst="rect">
            <a:avLst/>
          </a:prstGeom>
          <a:solidFill>
            <a:srgbClr val="F1F4F9"/>
          </a:solidFill>
          <a:ln>
            <a:solidFill>
              <a:schemeClr val="bg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 b="1">
              <a:solidFill>
                <a:schemeClr val="bg1"/>
              </a:solidFill>
            </a:endParaRPr>
          </a:p>
        </xdr:txBody>
      </xdr:sp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0" y="0"/>
            <a:ext cx="8763000" cy="742950"/>
          </a:xfrm>
          <a:prstGeom prst="rect">
            <a:avLst/>
          </a:prstGeom>
          <a:solidFill>
            <a:srgbClr val="2686EA"/>
          </a:solidFill>
          <a:ln>
            <a:solidFill>
              <a:schemeClr val="accent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Gráfico 6" descr="Abertura com preenchimento sólido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04775" y="9525"/>
            <a:ext cx="725102" cy="720000"/>
          </a:xfrm>
          <a:prstGeom prst="rect">
            <a:avLst/>
          </a:prstGeom>
        </xdr:spPr>
      </xdr:pic>
      <xdr:grpSp>
        <xdr:nvGrpSpPr>
          <xdr:cNvPr id="8" name="Agrupar 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GrpSpPr/>
        </xdr:nvGrpSpPr>
        <xdr:grpSpPr>
          <a:xfrm>
            <a:off x="2244970" y="0"/>
            <a:ext cx="871951" cy="685800"/>
            <a:chOff x="1568015" y="0"/>
            <a:chExt cx="864467" cy="685800"/>
          </a:xfrm>
        </xdr:grpSpPr>
        <xdr:pic>
          <xdr:nvPicPr>
            <xdr:cNvPr id="9" name="Gráfico 8" descr="Gráfico de barras com tendência ascendente com preenchimento sólido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rcRect/>
            <a:stretch/>
          </xdr:blipFill>
          <xdr:spPr>
            <a:xfrm>
              <a:off x="1727804" y="0"/>
              <a:ext cx="535365" cy="540000"/>
            </a:xfrm>
            <a:prstGeom prst="rect">
              <a:avLst/>
            </a:prstGeom>
          </xdr:spPr>
        </xdr:pic>
        <xdr:sp macro="" textlink="">
          <xdr:nvSpPr>
            <xdr:cNvPr id="10" name="Retângulo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>
            <a:xfrm>
              <a:off x="1568015" y="488449"/>
              <a:ext cx="864467" cy="197351"/>
            </a:xfrm>
            <a:prstGeom prst="rect">
              <a:avLst/>
            </a:prstGeom>
            <a:noFill/>
          </xdr:spPr>
          <xdr:txBody>
            <a:bodyPr wrap="none" lIns="91440" tIns="45720" rIns="91440" bIns="45720">
              <a:noAutofit/>
            </a:bodyPr>
            <a:lstStyle/>
            <a:p>
              <a:pPr algn="ctr"/>
              <a:r>
                <a:rPr lang="pt-BR" sz="1200" b="1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Ganhos</a:t>
              </a:r>
            </a:p>
          </xdr:txBody>
        </xdr:sp>
      </xdr:grpSp>
      <xdr:grpSp>
        <xdr:nvGrpSpPr>
          <xdr:cNvPr id="11" name="Agrupar 10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GrpSpPr/>
        </xdr:nvGrpSpPr>
        <xdr:grpSpPr>
          <a:xfrm>
            <a:off x="3822378" y="0"/>
            <a:ext cx="869570" cy="685800"/>
            <a:chOff x="3130115" y="0"/>
            <a:chExt cx="864467" cy="685800"/>
          </a:xfrm>
        </xdr:grpSpPr>
        <xdr:pic>
          <xdr:nvPicPr>
            <xdr:cNvPr id="12" name="Gráfico 11" descr="Gráfico de barras com tendência descendente com preenchimento sólido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1"/>
                </a:ext>
              </a:extLst>
            </a:blip>
            <a:srcRect/>
            <a:stretch/>
          </xdr:blipFill>
          <xdr:spPr>
            <a:xfrm>
              <a:off x="3303459" y="0"/>
              <a:ext cx="536831" cy="540000"/>
            </a:xfrm>
            <a:prstGeom prst="rect">
              <a:avLst/>
            </a:prstGeom>
          </xdr:spPr>
        </xdr:pic>
        <xdr:sp macro="" textlink="">
          <xdr:nvSpPr>
            <xdr:cNvPr id="13" name="Retângulo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/>
          </xdr:nvSpPr>
          <xdr:spPr>
            <a:xfrm>
              <a:off x="3130115" y="488449"/>
              <a:ext cx="864467" cy="197351"/>
            </a:xfrm>
            <a:prstGeom prst="rect">
              <a:avLst/>
            </a:prstGeom>
            <a:noFill/>
          </xdr:spPr>
          <xdr:txBody>
            <a:bodyPr wrap="none" lIns="91440" tIns="45720" rIns="91440" bIns="45720">
              <a:noAutofit/>
            </a:bodyPr>
            <a:lstStyle/>
            <a:p>
              <a:pPr algn="ctr"/>
              <a:r>
                <a:rPr lang="pt-BR" sz="1200" b="1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Despesas</a:t>
              </a:r>
            </a:p>
            <a:p>
              <a:pPr algn="ctr"/>
              <a:endParaRPr lang="pt-BR" sz="1200" b="1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  <xdr:sp macro="" textlink="">
        <xdr:nvSpPr>
          <xdr:cNvPr id="14" name="Retângulo: Cantos Arredondados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132014" y="2097316"/>
            <a:ext cx="1859054" cy="351065"/>
          </a:xfrm>
          <a:prstGeom prst="roundRect">
            <a:avLst>
              <a:gd name="adj" fmla="val 50000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000">
                <a:solidFill>
                  <a:sysClr val="windowText" lastClr="000000"/>
                </a:solidFill>
              </a:rPr>
              <a:t>Cadastro de despesas</a:t>
            </a:r>
          </a:p>
          <a:p>
            <a:pPr algn="l"/>
            <a:endParaRPr lang="pt-BR" sz="1000">
              <a:solidFill>
                <a:sysClr val="windowText" lastClr="000000"/>
              </a:solidFill>
            </a:endParaRPr>
          </a:p>
          <a:p>
            <a:pPr algn="l"/>
            <a:endParaRPr lang="pt-BR" sz="1000">
              <a:solidFill>
                <a:sysClr val="windowText" lastClr="000000"/>
              </a:solidFill>
            </a:endParaRPr>
          </a:p>
        </xdr:txBody>
      </xdr: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GrpSpPr/>
        </xdr:nvGrpSpPr>
        <xdr:grpSpPr>
          <a:xfrm>
            <a:off x="131993" y="1626702"/>
            <a:ext cx="1859076" cy="351065"/>
            <a:chOff x="141518" y="1104898"/>
            <a:chExt cx="1851931" cy="351065"/>
          </a:xfrm>
        </xdr:grpSpPr>
        <xdr:sp macro="" textlink="">
          <xdr:nvSpPr>
            <xdr:cNvPr id="17" name="Retângulo: Cantos Arredondados 16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SpPr/>
          </xdr:nvSpPr>
          <xdr:spPr>
            <a:xfrm>
              <a:off x="141518" y="1104898"/>
              <a:ext cx="1851931" cy="351065"/>
            </a:xfrm>
            <a:prstGeom prst="roundRect">
              <a:avLst>
                <a:gd name="adj" fmla="val 50000"/>
              </a:avLst>
            </a:prstGeom>
            <a:solidFill>
              <a:schemeClr val="bg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1000" b="0">
                  <a:solidFill>
                    <a:sysClr val="windowText" lastClr="000000"/>
                  </a:solidFill>
                </a:rPr>
                <a:t>Cadastro</a:t>
              </a:r>
              <a:r>
                <a:rPr lang="pt-BR" sz="1000" b="0" baseline="0">
                  <a:solidFill>
                    <a:sysClr val="windowText" lastClr="000000"/>
                  </a:solidFill>
                </a:rPr>
                <a:t> de Ganhos</a:t>
              </a:r>
              <a:endParaRPr lang="pt-BR" sz="1000" b="0">
                <a:solidFill>
                  <a:sysClr val="windowText" lastClr="000000"/>
                </a:solidFill>
              </a:endParaRPr>
            </a:p>
          </xdr:txBody>
        </xdr:sp>
        <xdr:pic>
          <xdr:nvPicPr>
            <xdr:cNvPr id="18" name="Gráfico 17" descr="Tendência ascendente com preenchimento sólido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3"/>
                </a:ext>
              </a:extLst>
            </a:blip>
            <a:srcRect/>
            <a:stretch/>
          </xdr:blipFill>
          <xdr:spPr>
            <a:xfrm>
              <a:off x="191051" y="1143005"/>
              <a:ext cx="286893" cy="288000"/>
            </a:xfrm>
            <a:prstGeom prst="rect">
              <a:avLst/>
            </a:prstGeom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</xdr:pic>
      </xdr:grpSp>
      <xdr:cxnSp macro="">
        <xdr:nvCxnSpPr>
          <xdr:cNvPr id="19" name="Conector reto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2201515" y="904875"/>
            <a:ext cx="0" cy="3286125"/>
          </a:xfrm>
          <a:prstGeom prst="line">
            <a:avLst/>
          </a:prstGeom>
          <a:ln>
            <a:solidFill>
              <a:schemeClr val="bg1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0" name="Retângulo: Cantos Arredondados 1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38100" y="919576"/>
            <a:ext cx="2076451" cy="436959"/>
          </a:xfrm>
          <a:prstGeom prst="roundRect">
            <a:avLst>
              <a:gd name="adj" fmla="val 50000"/>
            </a:avLst>
          </a:prstGeom>
          <a:solidFill>
            <a:srgbClr val="2686EA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000" b="1">
                <a:solidFill>
                  <a:schemeClr val="bg1"/>
                </a:solidFill>
              </a:rPr>
              <a:t>Menu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0</xdr:colOff>
      <xdr:row>22</xdr:row>
      <xdr:rowOff>66675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0" y="0"/>
          <a:ext cx="8755673" cy="4297973"/>
          <a:chOff x="0" y="0"/>
          <a:chExt cx="8763000" cy="4257675"/>
        </a:xfrm>
      </xdr:grpSpPr>
      <xdr:sp macro="" textlink="">
        <xdr:nvSpPr>
          <xdr:cNvPr id="2" name="Retângul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/>
        </xdr:nvSpPr>
        <xdr:spPr>
          <a:xfrm>
            <a:off x="0" y="766554"/>
            <a:ext cx="8760929" cy="3491121"/>
          </a:xfrm>
          <a:prstGeom prst="rect">
            <a:avLst/>
          </a:prstGeom>
          <a:solidFill>
            <a:srgbClr val="F1F4F9"/>
          </a:solidFill>
          <a:ln>
            <a:solidFill>
              <a:schemeClr val="bg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 b="1">
              <a:solidFill>
                <a:schemeClr val="bg1"/>
              </a:solidFill>
            </a:endParaRPr>
          </a:p>
        </xdr:txBody>
      </xdr:sp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3737114" y="1524000"/>
            <a:ext cx="3711436" cy="18573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>
            <a:off x="2238375" y="919576"/>
            <a:ext cx="6467475" cy="436959"/>
          </a:xfrm>
          <a:prstGeom prst="roundRect">
            <a:avLst>
              <a:gd name="adj" fmla="val 50000"/>
            </a:avLst>
          </a:prstGeom>
          <a:solidFill>
            <a:srgbClr val="2686EA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000" b="1">
                <a:solidFill>
                  <a:schemeClr val="bg1"/>
                </a:solidFill>
              </a:rPr>
              <a:t>Cadastro de ganhos</a:t>
            </a:r>
          </a:p>
        </xdr:txBody>
      </xdr:sp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0" y="0"/>
            <a:ext cx="8763000" cy="742950"/>
          </a:xfrm>
          <a:prstGeom prst="rect">
            <a:avLst/>
          </a:prstGeom>
          <a:solidFill>
            <a:srgbClr val="2686EA"/>
          </a:solidFill>
          <a:ln>
            <a:solidFill>
              <a:schemeClr val="accent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Gráfico 6" descr="Abertura com preenchimento sólido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04775" y="9525"/>
            <a:ext cx="725102" cy="720000"/>
          </a:xfrm>
          <a:prstGeom prst="rect">
            <a:avLst/>
          </a:prstGeom>
        </xdr:spPr>
      </xdr:pic>
      <xdr:grpSp>
        <xdr:nvGrpSpPr>
          <xdr:cNvPr id="8" name="Agrupar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GrpSpPr/>
        </xdr:nvGrpSpPr>
        <xdr:grpSpPr>
          <a:xfrm>
            <a:off x="2244970" y="0"/>
            <a:ext cx="871951" cy="685800"/>
            <a:chOff x="1568015" y="0"/>
            <a:chExt cx="864467" cy="685800"/>
          </a:xfrm>
        </xdr:grpSpPr>
        <xdr:pic>
          <xdr:nvPicPr>
            <xdr:cNvPr id="9" name="Gráfico 8" descr="Gráfico de barras com tendência ascendente com preenchimento sólido">
              <a:extLst>
                <a:ext uri="{FF2B5EF4-FFF2-40B4-BE49-F238E27FC236}">
                  <a16:creationId xmlns:a16="http://schemas.microsoft.com/office/drawing/2014/main" id="{00000000-0008-0000-0100-00000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5"/>
                </a:ext>
              </a:extLst>
            </a:blip>
            <a:srcRect/>
            <a:stretch/>
          </xdr:blipFill>
          <xdr:spPr>
            <a:xfrm>
              <a:off x="1727804" y="0"/>
              <a:ext cx="535365" cy="540000"/>
            </a:xfrm>
            <a:prstGeom prst="rect">
              <a:avLst/>
            </a:prstGeom>
          </xdr:spPr>
        </xdr:pic>
        <xdr:sp macro="" textlink="">
          <xdr:nvSpPr>
            <xdr:cNvPr id="10" name="Retângulo 9">
              <a:extLst>
                <a:ext uri="{FF2B5EF4-FFF2-40B4-BE49-F238E27FC236}">
                  <a16:creationId xmlns:a16="http://schemas.microsoft.com/office/drawing/2014/main" id="{00000000-0008-0000-0100-00000A000000}"/>
                </a:ext>
              </a:extLst>
            </xdr:cNvPr>
            <xdr:cNvSpPr/>
          </xdr:nvSpPr>
          <xdr:spPr>
            <a:xfrm>
              <a:off x="1568015" y="488449"/>
              <a:ext cx="864467" cy="197351"/>
            </a:xfrm>
            <a:prstGeom prst="rect">
              <a:avLst/>
            </a:prstGeom>
            <a:noFill/>
          </xdr:spPr>
          <xdr:txBody>
            <a:bodyPr wrap="none" lIns="91440" tIns="45720" rIns="91440" bIns="45720">
              <a:noAutofit/>
            </a:bodyPr>
            <a:lstStyle/>
            <a:p>
              <a:pPr algn="ctr"/>
              <a:r>
                <a:rPr lang="pt-BR" sz="1200" b="1" cap="none" spc="0">
                  <a:ln w="0"/>
                  <a:solidFill>
                    <a:schemeClr val="bg1">
                      <a:lumMod val="75000"/>
                    </a:schemeClr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Ganhos</a:t>
              </a:r>
            </a:p>
          </xdr:txBody>
        </xdr:sp>
      </xdr:grpSp>
      <xdr:grpSp>
        <xdr:nvGrpSpPr>
          <xdr:cNvPr id="11" name="Agrupar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GrpSpPr/>
        </xdr:nvGrpSpPr>
        <xdr:grpSpPr>
          <a:xfrm>
            <a:off x="3822378" y="0"/>
            <a:ext cx="869570" cy="685800"/>
            <a:chOff x="3130115" y="0"/>
            <a:chExt cx="864467" cy="685800"/>
          </a:xfrm>
        </xdr:grpSpPr>
        <xdr:pic>
          <xdr:nvPicPr>
            <xdr:cNvPr id="12" name="Gráfico 11" descr="Gráfico de barras com tendência descendente com preenchimento sólido"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rcRect/>
            <a:stretch/>
          </xdr:blipFill>
          <xdr:spPr>
            <a:xfrm>
              <a:off x="3303459" y="0"/>
              <a:ext cx="536831" cy="540000"/>
            </a:xfrm>
            <a:prstGeom prst="rect">
              <a:avLst/>
            </a:prstGeom>
          </xdr:spPr>
        </xdr:pic>
        <xdr:sp macro="" textlink="">
          <xdr:nvSpPr>
            <xdr:cNvPr id="13" name="Retângulo 12">
              <a:extLst>
                <a:ext uri="{FF2B5EF4-FFF2-40B4-BE49-F238E27FC236}">
                  <a16:creationId xmlns:a16="http://schemas.microsoft.com/office/drawing/2014/main" id="{00000000-0008-0000-0100-00000D000000}"/>
                </a:ext>
              </a:extLst>
            </xdr:cNvPr>
            <xdr:cNvSpPr/>
          </xdr:nvSpPr>
          <xdr:spPr>
            <a:xfrm>
              <a:off x="3130115" y="488449"/>
              <a:ext cx="864467" cy="197351"/>
            </a:xfrm>
            <a:prstGeom prst="rect">
              <a:avLst/>
            </a:prstGeom>
            <a:noFill/>
          </xdr:spPr>
          <xdr:txBody>
            <a:bodyPr wrap="none" lIns="91440" tIns="45720" rIns="91440" bIns="45720">
              <a:noAutofit/>
            </a:bodyPr>
            <a:lstStyle/>
            <a:p>
              <a:pPr algn="ctr"/>
              <a:r>
                <a:rPr lang="pt-BR" sz="1200" b="1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Despesas</a:t>
              </a:r>
            </a:p>
            <a:p>
              <a:pPr algn="ctr"/>
              <a:endParaRPr lang="pt-BR" sz="1200" b="1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  <xdr:sp macro="" textlink="">
        <xdr:nvSpPr>
          <xdr:cNvPr id="5144" name="Retângulo: Cantos Arredondados 5143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100-000018140000}"/>
              </a:ext>
            </a:extLst>
          </xdr:cNvPr>
          <xdr:cNvSpPr/>
        </xdr:nvSpPr>
        <xdr:spPr>
          <a:xfrm>
            <a:off x="132014" y="2097316"/>
            <a:ext cx="1859054" cy="351065"/>
          </a:xfrm>
          <a:prstGeom prst="roundRect">
            <a:avLst>
              <a:gd name="adj" fmla="val 50000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000">
                <a:solidFill>
                  <a:sysClr val="windowText" lastClr="000000"/>
                </a:solidFill>
              </a:rPr>
              <a:t>Cadastro de despesas</a:t>
            </a:r>
          </a:p>
          <a:p>
            <a:pPr algn="l"/>
            <a:endParaRPr lang="pt-BR" sz="1000">
              <a:solidFill>
                <a:sysClr val="windowText" lastClr="000000"/>
              </a:solidFill>
            </a:endParaRPr>
          </a:p>
          <a:p>
            <a:pPr algn="l"/>
            <a:endParaRPr lang="pt-BR" sz="1000">
              <a:solidFill>
                <a:sysClr val="windowText" lastClr="000000"/>
              </a:solidFill>
            </a:endParaRPr>
          </a:p>
        </xdr:txBody>
      </xdr:sp>
      <xdr:grpSp>
        <xdr:nvGrpSpPr>
          <xdr:cNvPr id="5146" name="Agrupar 5145">
            <a:extLst>
              <a:ext uri="{FF2B5EF4-FFF2-40B4-BE49-F238E27FC236}">
                <a16:creationId xmlns:a16="http://schemas.microsoft.com/office/drawing/2014/main" id="{00000000-0008-0000-0100-00001A140000}"/>
              </a:ext>
            </a:extLst>
          </xdr:cNvPr>
          <xdr:cNvGrpSpPr/>
        </xdr:nvGrpSpPr>
        <xdr:grpSpPr>
          <a:xfrm>
            <a:off x="131993" y="1626702"/>
            <a:ext cx="1859076" cy="351065"/>
            <a:chOff x="141518" y="1104898"/>
            <a:chExt cx="1851931" cy="351065"/>
          </a:xfrm>
        </xdr:grpSpPr>
        <xdr:sp macro="" textlink="">
          <xdr:nvSpPr>
            <xdr:cNvPr id="5147" name="Retângulo: Cantos Arredondados 5146">
              <a:extLst>
                <a:ext uri="{FF2B5EF4-FFF2-40B4-BE49-F238E27FC236}">
                  <a16:creationId xmlns:a16="http://schemas.microsoft.com/office/drawing/2014/main" id="{00000000-0008-0000-0100-00001B140000}"/>
                </a:ext>
              </a:extLst>
            </xdr:cNvPr>
            <xdr:cNvSpPr/>
          </xdr:nvSpPr>
          <xdr:spPr>
            <a:xfrm>
              <a:off x="141518" y="1104898"/>
              <a:ext cx="1851931" cy="351065"/>
            </a:xfrm>
            <a:prstGeom prst="roundRect">
              <a:avLst>
                <a:gd name="adj" fmla="val 50000"/>
              </a:avLst>
            </a:prstGeom>
            <a:solidFill>
              <a:srgbClr val="2686EA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1000" b="1">
                  <a:solidFill>
                    <a:schemeClr val="bg1"/>
                  </a:solidFill>
                </a:rPr>
                <a:t>Cadastro</a:t>
              </a:r>
              <a:r>
                <a:rPr lang="pt-BR" sz="1000" b="1" baseline="0">
                  <a:solidFill>
                    <a:schemeClr val="bg1"/>
                  </a:solidFill>
                </a:rPr>
                <a:t> de Ganhos</a:t>
              </a:r>
              <a:endParaRPr lang="pt-BR" sz="1000" b="1">
                <a:solidFill>
                  <a:schemeClr val="bg1"/>
                </a:solidFill>
              </a:endParaRPr>
            </a:p>
          </xdr:txBody>
        </xdr:sp>
        <xdr:pic>
          <xdr:nvPicPr>
            <xdr:cNvPr id="5148" name="Gráfico 5147" descr="Tendência ascendente com preenchimento sólido">
              <a:extLst>
                <a:ext uri="{FF2B5EF4-FFF2-40B4-BE49-F238E27FC236}">
                  <a16:creationId xmlns:a16="http://schemas.microsoft.com/office/drawing/2014/main" id="{00000000-0008-0000-0100-00001C1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rcRect/>
            <a:stretch/>
          </xdr:blipFill>
          <xdr:spPr>
            <a:xfrm>
              <a:off x="191051" y="1143005"/>
              <a:ext cx="286893" cy="288000"/>
            </a:xfrm>
            <a:prstGeom prst="rect">
              <a:avLst/>
            </a:prstGeom>
          </xdr:spPr>
        </xdr:pic>
      </xdr:grpSp>
      <xdr:sp macro="" textlink="">
        <xdr:nvSpPr>
          <xdr:cNvPr id="17" name="Retângulo: Cantos Arredondados 1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/>
        </xdr:nvSpPr>
        <xdr:spPr>
          <a:xfrm>
            <a:off x="38100" y="919576"/>
            <a:ext cx="2076451" cy="436959"/>
          </a:xfrm>
          <a:prstGeom prst="roundRect">
            <a:avLst>
              <a:gd name="adj" fmla="val 50000"/>
            </a:avLst>
          </a:prstGeom>
          <a:solidFill>
            <a:srgbClr val="2686EA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000" b="1">
                <a:solidFill>
                  <a:schemeClr val="bg1"/>
                </a:solidFill>
              </a:rPr>
              <a:t>Menu</a:t>
            </a:r>
          </a:p>
        </xdr:txBody>
      </xdr:sp>
    </xdr:grpSp>
    <xdr:clientData/>
  </xdr:twoCellAnchor>
  <xdr:twoCellAnchor>
    <xdr:from>
      <xdr:col>6</xdr:col>
      <xdr:colOff>99391</xdr:colOff>
      <xdr:row>8</xdr:row>
      <xdr:rowOff>8283</xdr:rowOff>
    </xdr:from>
    <xdr:to>
      <xdr:col>17</xdr:col>
      <xdr:colOff>41412</xdr:colOff>
      <xdr:row>30</xdr:row>
      <xdr:rowOff>57978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756991" y="1532283"/>
          <a:ext cx="6647621" cy="42406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176086</xdr:colOff>
      <xdr:row>11</xdr:row>
      <xdr:rowOff>38101</xdr:rowOff>
    </xdr:from>
    <xdr:to>
      <xdr:col>0</xdr:col>
      <xdr:colOff>461836</xdr:colOff>
      <xdr:row>12</xdr:row>
      <xdr:rowOff>133351</xdr:rowOff>
    </xdr:to>
    <xdr:pic>
      <xdr:nvPicPr>
        <xdr:cNvPr id="5145" name="Gráfico 5144" descr="Gráfico de tendência descendente com preenchimento sólido">
          <a:extLst>
            <a:ext uri="{FF2B5EF4-FFF2-40B4-BE49-F238E27FC236}">
              <a16:creationId xmlns:a16="http://schemas.microsoft.com/office/drawing/2014/main" id="{00000000-0008-0000-0100-000019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rcRect/>
        <a:stretch/>
      </xdr:blipFill>
      <xdr:spPr>
        <a:xfrm>
          <a:off x="176086" y="2133601"/>
          <a:ext cx="285750" cy="2857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190500</xdr:colOff>
          <xdr:row>12</xdr:row>
          <xdr:rowOff>114300</xdr:rowOff>
        </xdr:from>
        <xdr:to>
          <xdr:col>7</xdr:col>
          <xdr:colOff>533400</xdr:colOff>
          <xdr:row>13</xdr:row>
          <xdr:rowOff>123825</xdr:rowOff>
        </xdr:to>
        <xdr:sp macro="" textlink="">
          <xdr:nvSpPr>
            <xdr:cNvPr id="5121" name="txtDat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180975</xdr:colOff>
          <xdr:row>12</xdr:row>
          <xdr:rowOff>114300</xdr:rowOff>
        </xdr:from>
        <xdr:to>
          <xdr:col>12</xdr:col>
          <xdr:colOff>19050</xdr:colOff>
          <xdr:row>13</xdr:row>
          <xdr:rowOff>123825</xdr:rowOff>
        </xdr:to>
        <xdr:sp macro="" textlink="">
          <xdr:nvSpPr>
            <xdr:cNvPr id="5122" name="txtViagen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190500</xdr:colOff>
          <xdr:row>12</xdr:row>
          <xdr:rowOff>114300</xdr:rowOff>
        </xdr:from>
        <xdr:to>
          <xdr:col>10</xdr:col>
          <xdr:colOff>561975</xdr:colOff>
          <xdr:row>13</xdr:row>
          <xdr:rowOff>123825</xdr:rowOff>
        </xdr:to>
        <xdr:sp macro="" textlink="">
          <xdr:nvSpPr>
            <xdr:cNvPr id="5123" name="txtFaturamento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190500</xdr:colOff>
          <xdr:row>15</xdr:row>
          <xdr:rowOff>114300</xdr:rowOff>
        </xdr:from>
        <xdr:to>
          <xdr:col>7</xdr:col>
          <xdr:colOff>533400</xdr:colOff>
          <xdr:row>16</xdr:row>
          <xdr:rowOff>123825</xdr:rowOff>
        </xdr:to>
        <xdr:sp macro="" textlink="">
          <xdr:nvSpPr>
            <xdr:cNvPr id="5126" name="txtHoras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10</xdr:row>
          <xdr:rowOff>142875</xdr:rowOff>
        </xdr:from>
        <xdr:to>
          <xdr:col>12</xdr:col>
          <xdr:colOff>85725</xdr:colOff>
          <xdr:row>17</xdr:row>
          <xdr:rowOff>85725</xdr:rowOff>
        </xdr:to>
        <xdr:sp macro="" textlink="">
          <xdr:nvSpPr>
            <xdr:cNvPr id="5127" name="Group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Ganhos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180975</xdr:colOff>
          <xdr:row>11</xdr:row>
          <xdr:rowOff>133350</xdr:rowOff>
        </xdr:from>
        <xdr:to>
          <xdr:col>7</xdr:col>
          <xdr:colOff>390525</xdr:colOff>
          <xdr:row>12</xdr:row>
          <xdr:rowOff>104775</xdr:rowOff>
        </xdr:to>
        <xdr:sp macro="" textlink="">
          <xdr:nvSpPr>
            <xdr:cNvPr id="14" name="Label 24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100-00000E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Data: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180975</xdr:colOff>
          <xdr:row>11</xdr:row>
          <xdr:rowOff>133350</xdr:rowOff>
        </xdr:from>
        <xdr:to>
          <xdr:col>9</xdr:col>
          <xdr:colOff>390525</xdr:colOff>
          <xdr:row>12</xdr:row>
          <xdr:rowOff>104775</xdr:rowOff>
        </xdr:to>
        <xdr:sp macro="" textlink="">
          <xdr:nvSpPr>
            <xdr:cNvPr id="15" name="Label 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Faturamento: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171450</xdr:colOff>
          <xdr:row>11</xdr:row>
          <xdr:rowOff>133350</xdr:rowOff>
        </xdr:from>
        <xdr:to>
          <xdr:col>13</xdr:col>
          <xdr:colOff>0</xdr:colOff>
          <xdr:row>12</xdr:row>
          <xdr:rowOff>104775</xdr:rowOff>
        </xdr:to>
        <xdr:sp macro="" textlink="">
          <xdr:nvSpPr>
            <xdr:cNvPr id="16" name="Label 26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Viagens: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38100</xdr:rowOff>
        </xdr:from>
        <xdr:to>
          <xdr:col>12</xdr:col>
          <xdr:colOff>76200</xdr:colOff>
          <xdr:row>10</xdr:row>
          <xdr:rowOff>47625</xdr:rowOff>
        </xdr:to>
        <xdr:sp macro="" textlink="">
          <xdr:nvSpPr>
            <xdr:cNvPr id="5162" name="Group Box 42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1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Buscar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276225</xdr:colOff>
          <xdr:row>8</xdr:row>
          <xdr:rowOff>114300</xdr:rowOff>
        </xdr:from>
        <xdr:to>
          <xdr:col>11</xdr:col>
          <xdr:colOff>581025</xdr:colOff>
          <xdr:row>10</xdr:row>
          <xdr:rowOff>0</xdr:rowOff>
        </xdr:to>
        <xdr:sp macro="" textlink="">
          <xdr:nvSpPr>
            <xdr:cNvPr id="5165" name="btBuscarGanhos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00000000-0008-0000-0100-00002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495300</xdr:colOff>
          <xdr:row>18</xdr:row>
          <xdr:rowOff>171450</xdr:rowOff>
        </xdr:from>
        <xdr:to>
          <xdr:col>8</xdr:col>
          <xdr:colOff>428625</xdr:colOff>
          <xdr:row>21</xdr:row>
          <xdr:rowOff>171450</xdr:rowOff>
        </xdr:to>
        <xdr:sp macro="" textlink="">
          <xdr:nvSpPr>
            <xdr:cNvPr id="5166" name="btAlterarGanhos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00000000-0008-0000-0100-00002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104775</xdr:colOff>
          <xdr:row>18</xdr:row>
          <xdr:rowOff>171450</xdr:rowOff>
        </xdr:from>
        <xdr:to>
          <xdr:col>10</xdr:col>
          <xdr:colOff>38100</xdr:colOff>
          <xdr:row>21</xdr:row>
          <xdr:rowOff>171450</xdr:rowOff>
        </xdr:to>
        <xdr:sp macro="" textlink="">
          <xdr:nvSpPr>
            <xdr:cNvPr id="5167" name="btExcluirGanhos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1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372715</xdr:colOff>
      <xdr:row>4</xdr:row>
      <xdr:rowOff>142875</xdr:rowOff>
    </xdr:from>
    <xdr:to>
      <xdr:col>3</xdr:col>
      <xdr:colOff>372715</xdr:colOff>
      <xdr:row>22</xdr:row>
      <xdr:rowOff>0</xdr:rowOff>
    </xdr:to>
    <xdr:cxnSp macro="">
      <xdr:nvCxnSpPr>
        <xdr:cNvPr id="5179" name="Conector reto 5178">
          <a:extLst>
            <a:ext uri="{FF2B5EF4-FFF2-40B4-BE49-F238E27FC236}">
              <a16:creationId xmlns:a16="http://schemas.microsoft.com/office/drawing/2014/main" id="{00000000-0008-0000-0100-00003B140000}"/>
            </a:ext>
          </a:extLst>
        </xdr:cNvPr>
        <xdr:cNvCxnSpPr/>
      </xdr:nvCxnSpPr>
      <xdr:spPr>
        <a:xfrm>
          <a:off x="2201515" y="904875"/>
          <a:ext cx="0" cy="3286125"/>
        </a:xfrm>
        <a:prstGeom prst="line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18</xdr:row>
          <xdr:rowOff>171450</xdr:rowOff>
        </xdr:from>
        <xdr:to>
          <xdr:col>7</xdr:col>
          <xdr:colOff>219075</xdr:colOff>
          <xdr:row>21</xdr:row>
          <xdr:rowOff>171450</xdr:rowOff>
        </xdr:to>
        <xdr:sp macro="" textlink="">
          <xdr:nvSpPr>
            <xdr:cNvPr id="5168" name="btCadastrarGanhos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1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190500</xdr:colOff>
          <xdr:row>8</xdr:row>
          <xdr:rowOff>152400</xdr:rowOff>
        </xdr:from>
        <xdr:to>
          <xdr:col>11</xdr:col>
          <xdr:colOff>0</xdr:colOff>
          <xdr:row>9</xdr:row>
          <xdr:rowOff>161925</xdr:rowOff>
        </xdr:to>
        <xdr:sp macro="" textlink="">
          <xdr:nvSpPr>
            <xdr:cNvPr id="5169" name="txtPesquisa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1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14</xdr:row>
          <xdr:rowOff>123825</xdr:rowOff>
        </xdr:from>
        <xdr:to>
          <xdr:col>8</xdr:col>
          <xdr:colOff>19050</xdr:colOff>
          <xdr:row>15</xdr:row>
          <xdr:rowOff>95250</xdr:rowOff>
        </xdr:to>
        <xdr:sp macro="" textlink="">
          <xdr:nvSpPr>
            <xdr:cNvPr id="5170" name="Label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1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Horas: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314325</xdr:colOff>
          <xdr:row>18</xdr:row>
          <xdr:rowOff>171450</xdr:rowOff>
        </xdr:from>
        <xdr:to>
          <xdr:col>11</xdr:col>
          <xdr:colOff>247650</xdr:colOff>
          <xdr:row>21</xdr:row>
          <xdr:rowOff>171450</xdr:rowOff>
        </xdr:to>
        <xdr:sp macro="" textlink="">
          <xdr:nvSpPr>
            <xdr:cNvPr id="5171" name="btCriarGanhos" hidden="1">
              <a:extLst>
                <a:ext uri="{63B3BB69-23CF-44E3-9099-C40C66FF867C}">
                  <a14:compatExt spid="_x0000_s5171"/>
                </a:ext>
                <a:ext uri="{FF2B5EF4-FFF2-40B4-BE49-F238E27FC236}">
                  <a16:creationId xmlns:a16="http://schemas.microsoft.com/office/drawing/2014/main" id="{00000000-0008-0000-0100-00003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14</xdr:row>
          <xdr:rowOff>123825</xdr:rowOff>
        </xdr:from>
        <xdr:to>
          <xdr:col>10</xdr:col>
          <xdr:colOff>466725</xdr:colOff>
          <xdr:row>15</xdr:row>
          <xdr:rowOff>95250</xdr:rowOff>
        </xdr:to>
        <xdr:sp macro="" textlink="">
          <xdr:nvSpPr>
            <xdr:cNvPr id="5173" name="Label 53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1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Descrição: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257175</xdr:colOff>
          <xdr:row>15</xdr:row>
          <xdr:rowOff>114300</xdr:rowOff>
        </xdr:from>
        <xdr:to>
          <xdr:col>12</xdr:col>
          <xdr:colOff>19050</xdr:colOff>
          <xdr:row>16</xdr:row>
          <xdr:rowOff>123825</xdr:rowOff>
        </xdr:to>
        <xdr:sp macro="" textlink="">
          <xdr:nvSpPr>
            <xdr:cNvPr id="5174" name="txtDesc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1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179618</xdr:colOff>
      <xdr:row>11</xdr:row>
      <xdr:rowOff>45552</xdr:rowOff>
    </xdr:from>
    <xdr:to>
      <xdr:col>0</xdr:col>
      <xdr:colOff>467618</xdr:colOff>
      <xdr:row>12</xdr:row>
      <xdr:rowOff>143052</xdr:rowOff>
    </xdr:to>
    <xdr:pic>
      <xdr:nvPicPr>
        <xdr:cNvPr id="25" name="Gráfico 24" descr="Gráfico de tendência descendente com preenchimento sólido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rcRect/>
        <a:stretch/>
      </xdr:blipFill>
      <xdr:spPr>
        <a:xfrm>
          <a:off x="179618" y="2141052"/>
          <a:ext cx="288000" cy="288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15</xdr:row>
          <xdr:rowOff>114300</xdr:rowOff>
        </xdr:from>
        <xdr:to>
          <xdr:col>8</xdr:col>
          <xdr:colOff>571500</xdr:colOff>
          <xdr:row>16</xdr:row>
          <xdr:rowOff>123825</xdr:rowOff>
        </xdr:to>
        <xdr:sp macro="" textlink="">
          <xdr:nvSpPr>
            <xdr:cNvPr id="5175" name="txtKM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1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14</xdr:row>
          <xdr:rowOff>123825</xdr:rowOff>
        </xdr:from>
        <xdr:to>
          <xdr:col>9</xdr:col>
          <xdr:colOff>552450</xdr:colOff>
          <xdr:row>15</xdr:row>
          <xdr:rowOff>95250</xdr:rowOff>
        </xdr:to>
        <xdr:sp macro="" textlink="">
          <xdr:nvSpPr>
            <xdr:cNvPr id="5176" name="Label 56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1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KMs: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0</xdr:colOff>
      <xdr:row>23</xdr:row>
      <xdr:rowOff>0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pSpPr/>
      </xdr:nvGrpSpPr>
      <xdr:grpSpPr>
        <a:xfrm>
          <a:off x="0" y="0"/>
          <a:ext cx="8755673" cy="4327464"/>
          <a:chOff x="0" y="0"/>
          <a:chExt cx="8763000" cy="4286250"/>
        </a:xfrm>
      </xdr:grpSpPr>
      <xdr:sp macro="" textlink="">
        <xdr:nvSpPr>
          <xdr:cNvPr id="2" name="Retângulo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SpPr/>
        </xdr:nvSpPr>
        <xdr:spPr>
          <a:xfrm>
            <a:off x="2071" y="795129"/>
            <a:ext cx="8760929" cy="3491121"/>
          </a:xfrm>
          <a:prstGeom prst="rect">
            <a:avLst/>
          </a:prstGeom>
          <a:solidFill>
            <a:srgbClr val="F1F4F9"/>
          </a:solidFill>
          <a:ln>
            <a:solidFill>
              <a:schemeClr val="bg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 b="1">
              <a:solidFill>
                <a:schemeClr val="bg1"/>
              </a:solidFill>
            </a:endParaRPr>
          </a:p>
        </xdr:txBody>
      </xdr:sp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3737114" y="1524000"/>
            <a:ext cx="3711436" cy="18573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2238375" y="919576"/>
            <a:ext cx="6467475" cy="436959"/>
          </a:xfrm>
          <a:prstGeom prst="roundRect">
            <a:avLst>
              <a:gd name="adj" fmla="val 50000"/>
            </a:avLst>
          </a:prstGeom>
          <a:solidFill>
            <a:srgbClr val="2686EA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000" b="1">
                <a:solidFill>
                  <a:schemeClr val="bg1"/>
                </a:solidFill>
              </a:rPr>
              <a:t>Cadastro de gastos</a:t>
            </a:r>
          </a:p>
        </xdr:txBody>
      </xdr:sp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0" y="0"/>
            <a:ext cx="8763000" cy="742950"/>
          </a:xfrm>
          <a:prstGeom prst="rect">
            <a:avLst/>
          </a:prstGeom>
          <a:solidFill>
            <a:srgbClr val="2686EA"/>
          </a:solidFill>
          <a:ln>
            <a:solidFill>
              <a:schemeClr val="accent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Gráfico 6" descr="Abertura com preenchimento sólido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04775" y="9525"/>
            <a:ext cx="725102" cy="720000"/>
          </a:xfrm>
          <a:prstGeom prst="rect">
            <a:avLst/>
          </a:prstGeom>
        </xdr:spPr>
      </xdr:pic>
      <xdr:grpSp>
        <xdr:nvGrpSpPr>
          <xdr:cNvPr id="8" name="Agrupar 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GrpSpPr/>
        </xdr:nvGrpSpPr>
        <xdr:grpSpPr>
          <a:xfrm>
            <a:off x="2244970" y="0"/>
            <a:ext cx="871951" cy="685800"/>
            <a:chOff x="1568015" y="0"/>
            <a:chExt cx="864467" cy="685800"/>
          </a:xfrm>
        </xdr:grpSpPr>
        <xdr:pic>
          <xdr:nvPicPr>
            <xdr:cNvPr id="9" name="Gráfico 8" descr="Gráfico de barras com tendência ascendente com preenchimento sólido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rcRect/>
            <a:stretch/>
          </xdr:blipFill>
          <xdr:spPr>
            <a:xfrm>
              <a:off x="1727804" y="0"/>
              <a:ext cx="535365" cy="540000"/>
            </a:xfrm>
            <a:prstGeom prst="rect">
              <a:avLst/>
            </a:prstGeom>
          </xdr:spPr>
        </xdr:pic>
        <xdr:sp macro="" textlink="">
          <xdr:nvSpPr>
            <xdr:cNvPr id="10" name="Retângulo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/>
          </xdr:nvSpPr>
          <xdr:spPr>
            <a:xfrm>
              <a:off x="1568015" y="488449"/>
              <a:ext cx="864467" cy="197351"/>
            </a:xfrm>
            <a:prstGeom prst="rect">
              <a:avLst/>
            </a:prstGeom>
            <a:noFill/>
          </xdr:spPr>
          <xdr:txBody>
            <a:bodyPr wrap="none" lIns="91440" tIns="45720" rIns="91440" bIns="45720">
              <a:noAutofit/>
            </a:bodyPr>
            <a:lstStyle/>
            <a:p>
              <a:pPr algn="ctr"/>
              <a:r>
                <a:rPr lang="pt-BR" sz="1200" b="1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Ganhos</a:t>
              </a:r>
            </a:p>
          </xdr:txBody>
        </xdr:sp>
      </xdr:grpSp>
      <xdr:grpSp>
        <xdr:nvGrpSpPr>
          <xdr:cNvPr id="11" name="Agrupar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GrpSpPr/>
        </xdr:nvGrpSpPr>
        <xdr:grpSpPr>
          <a:xfrm>
            <a:off x="3822378" y="0"/>
            <a:ext cx="869570" cy="685800"/>
            <a:chOff x="3130115" y="0"/>
            <a:chExt cx="864467" cy="685800"/>
          </a:xfrm>
        </xdr:grpSpPr>
        <xdr:pic>
          <xdr:nvPicPr>
            <xdr:cNvPr id="12" name="Gráfico 11" descr="Gráfico de barras com tendência descendente com preenchimento sólido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rcRect/>
            <a:stretch/>
          </xdr:blipFill>
          <xdr:spPr>
            <a:xfrm>
              <a:off x="3303459" y="0"/>
              <a:ext cx="536831" cy="540000"/>
            </a:xfrm>
            <a:prstGeom prst="rect">
              <a:avLst/>
            </a:prstGeom>
          </xdr:spPr>
        </xdr:pic>
        <xdr:sp macro="" textlink="">
          <xdr:nvSpPr>
            <xdr:cNvPr id="13" name="Retângulo 12">
              <a:extLst>
                <a:ext uri="{FF2B5EF4-FFF2-40B4-BE49-F238E27FC236}">
                  <a16:creationId xmlns:a16="http://schemas.microsoft.com/office/drawing/2014/main" id="{00000000-0008-0000-0200-00000D000000}"/>
                </a:ext>
              </a:extLst>
            </xdr:cNvPr>
            <xdr:cNvSpPr/>
          </xdr:nvSpPr>
          <xdr:spPr>
            <a:xfrm>
              <a:off x="3130115" y="488449"/>
              <a:ext cx="864467" cy="197351"/>
            </a:xfrm>
            <a:prstGeom prst="rect">
              <a:avLst/>
            </a:prstGeom>
            <a:noFill/>
          </xdr:spPr>
          <xdr:txBody>
            <a:bodyPr wrap="none" lIns="91440" tIns="45720" rIns="91440" bIns="45720">
              <a:noAutofit/>
            </a:bodyPr>
            <a:lstStyle/>
            <a:p>
              <a:pPr algn="ctr"/>
              <a:r>
                <a:rPr lang="pt-BR" sz="1200" b="1" cap="none" spc="0">
                  <a:ln w="0"/>
                  <a:solidFill>
                    <a:schemeClr val="bg1">
                      <a:lumMod val="75000"/>
                    </a:schemeClr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Despesas</a:t>
              </a:r>
            </a:p>
            <a:p>
              <a:pPr algn="ctr"/>
              <a:endParaRPr lang="pt-BR" sz="1200" b="1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  <xdr:sp macro="" textlink="">
        <xdr:nvSpPr>
          <xdr:cNvPr id="14" name="Retângulo: Cantos Arredondados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132014" y="2097316"/>
            <a:ext cx="1859054" cy="351065"/>
          </a:xfrm>
          <a:prstGeom prst="roundRect">
            <a:avLst>
              <a:gd name="adj" fmla="val 50000"/>
            </a:avLst>
          </a:prstGeom>
          <a:solidFill>
            <a:srgbClr val="2686EA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000" b="1">
                <a:solidFill>
                  <a:schemeClr val="bg1"/>
                </a:solidFill>
              </a:rPr>
              <a:t>Cadastro de despesas</a:t>
            </a:r>
          </a:p>
          <a:p>
            <a:pPr algn="l"/>
            <a:endParaRPr lang="pt-BR" sz="1000" b="1">
              <a:solidFill>
                <a:schemeClr val="bg1"/>
              </a:solidFill>
            </a:endParaRPr>
          </a:p>
          <a:p>
            <a:pPr algn="l"/>
            <a:endParaRPr lang="pt-BR" sz="1000" b="1">
              <a:solidFill>
                <a:schemeClr val="bg1"/>
              </a:solidFill>
            </a:endParaRPr>
          </a:p>
        </xdr:txBody>
      </xdr: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GrpSpPr/>
        </xdr:nvGrpSpPr>
        <xdr:grpSpPr>
          <a:xfrm>
            <a:off x="131993" y="1626702"/>
            <a:ext cx="1859076" cy="351065"/>
            <a:chOff x="141518" y="1104898"/>
            <a:chExt cx="1851931" cy="351065"/>
          </a:xfrm>
        </xdr:grpSpPr>
        <xdr:sp macro="" textlink="">
          <xdr:nvSpPr>
            <xdr:cNvPr id="17" name="Retângulo: Cantos Arredondados 16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SpPr/>
          </xdr:nvSpPr>
          <xdr:spPr>
            <a:xfrm>
              <a:off x="141518" y="1104898"/>
              <a:ext cx="1851931" cy="351065"/>
            </a:xfrm>
            <a:prstGeom prst="roundRect">
              <a:avLst>
                <a:gd name="adj" fmla="val 50000"/>
              </a:avLst>
            </a:prstGeom>
            <a:solidFill>
              <a:sysClr val="window" lastClr="FFFFFF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1000" b="0">
                  <a:solidFill>
                    <a:schemeClr val="tx1"/>
                  </a:solidFill>
                </a:rPr>
                <a:t>Cadastro</a:t>
              </a:r>
              <a:r>
                <a:rPr lang="pt-BR" sz="1000" b="0" baseline="0">
                  <a:solidFill>
                    <a:schemeClr val="tx1"/>
                  </a:solidFill>
                </a:rPr>
                <a:t> de Ganhos</a:t>
              </a:r>
              <a:endParaRPr lang="pt-BR" sz="1000" b="0">
                <a:solidFill>
                  <a:schemeClr val="tx1"/>
                </a:solidFill>
              </a:endParaRPr>
            </a:p>
          </xdr:txBody>
        </xdr:sp>
        <xdr:pic>
          <xdr:nvPicPr>
            <xdr:cNvPr id="18" name="Gráfico 17" descr="Tendência ascendente com preenchimento sólido">
              <a:extLst>
                <a:ext uri="{FF2B5EF4-FFF2-40B4-BE49-F238E27FC236}">
                  <a16:creationId xmlns:a16="http://schemas.microsoft.com/office/drawing/2014/main" id="{00000000-0008-0000-0200-00001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rcRect/>
            <a:stretch/>
          </xdr:blipFill>
          <xdr:spPr>
            <a:xfrm>
              <a:off x="191051" y="1143005"/>
              <a:ext cx="286893" cy="288000"/>
            </a:xfrm>
            <a:prstGeom prst="rect">
              <a:avLst/>
            </a:prstGeom>
          </xdr:spPr>
        </xdr:pic>
      </xdr:grpSp>
      <xdr:sp macro="" textlink="">
        <xdr:nvSpPr>
          <xdr:cNvPr id="20" name="Retângulo: Cantos Arredondados 19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/>
        </xdr:nvSpPr>
        <xdr:spPr>
          <a:xfrm>
            <a:off x="38100" y="919576"/>
            <a:ext cx="2076451" cy="436959"/>
          </a:xfrm>
          <a:prstGeom prst="roundRect">
            <a:avLst>
              <a:gd name="adj" fmla="val 50000"/>
            </a:avLst>
          </a:prstGeom>
          <a:solidFill>
            <a:srgbClr val="2686EA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000" b="1">
                <a:solidFill>
                  <a:schemeClr val="bg1"/>
                </a:solidFill>
              </a:rPr>
              <a:t>Menu</a:t>
            </a:r>
          </a:p>
        </xdr:txBody>
      </xdr:sp>
    </xdr:grpSp>
    <xdr:clientData/>
  </xdr:twoCellAnchor>
  <xdr:twoCellAnchor>
    <xdr:from>
      <xdr:col>6</xdr:col>
      <xdr:colOff>99391</xdr:colOff>
      <xdr:row>8</xdr:row>
      <xdr:rowOff>8283</xdr:rowOff>
    </xdr:from>
    <xdr:to>
      <xdr:col>17</xdr:col>
      <xdr:colOff>41412</xdr:colOff>
      <xdr:row>30</xdr:row>
      <xdr:rowOff>57978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756991" y="1532283"/>
          <a:ext cx="5006009" cy="275396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190500</xdr:colOff>
          <xdr:row>12</xdr:row>
          <xdr:rowOff>114300</xdr:rowOff>
        </xdr:from>
        <xdr:to>
          <xdr:col>7</xdr:col>
          <xdr:colOff>533400</xdr:colOff>
          <xdr:row>13</xdr:row>
          <xdr:rowOff>123825</xdr:rowOff>
        </xdr:to>
        <xdr:sp macro="" textlink="">
          <xdr:nvSpPr>
            <xdr:cNvPr id="9217" name="txtData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190500</xdr:colOff>
          <xdr:row>12</xdr:row>
          <xdr:rowOff>114300</xdr:rowOff>
        </xdr:from>
        <xdr:to>
          <xdr:col>10</xdr:col>
          <xdr:colOff>561975</xdr:colOff>
          <xdr:row>13</xdr:row>
          <xdr:rowOff>123825</xdr:rowOff>
        </xdr:to>
        <xdr:sp macro="" textlink="">
          <xdr:nvSpPr>
            <xdr:cNvPr id="9219" name="txtDespesas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10</xdr:row>
          <xdr:rowOff>142875</xdr:rowOff>
        </xdr:from>
        <xdr:to>
          <xdr:col>12</xdr:col>
          <xdr:colOff>85725</xdr:colOff>
          <xdr:row>17</xdr:row>
          <xdr:rowOff>85725</xdr:rowOff>
        </xdr:to>
        <xdr:sp macro="" textlink="">
          <xdr:nvSpPr>
            <xdr:cNvPr id="9221" name="Group Box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Ganhos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176086</xdr:colOff>
      <xdr:row>11</xdr:row>
      <xdr:rowOff>38101</xdr:rowOff>
    </xdr:from>
    <xdr:to>
      <xdr:col>0</xdr:col>
      <xdr:colOff>461836</xdr:colOff>
      <xdr:row>12</xdr:row>
      <xdr:rowOff>133351</xdr:rowOff>
    </xdr:to>
    <xdr:pic>
      <xdr:nvPicPr>
        <xdr:cNvPr id="15" name="Gráfico 14" descr="Gráfico de tendência descendente com preenchimento sólido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rcRect/>
        <a:stretch/>
      </xdr:blipFill>
      <xdr:spPr>
        <a:xfrm>
          <a:off x="176086" y="2133601"/>
          <a:ext cx="285750" cy="2857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180975</xdr:colOff>
          <xdr:row>11</xdr:row>
          <xdr:rowOff>133350</xdr:rowOff>
        </xdr:from>
        <xdr:to>
          <xdr:col>7</xdr:col>
          <xdr:colOff>390525</xdr:colOff>
          <xdr:row>12</xdr:row>
          <xdr:rowOff>104775</xdr:rowOff>
        </xdr:to>
        <xdr:sp macro="" textlink="">
          <xdr:nvSpPr>
            <xdr:cNvPr id="9222" name="Label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Data: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180975</xdr:colOff>
          <xdr:row>11</xdr:row>
          <xdr:rowOff>133350</xdr:rowOff>
        </xdr:from>
        <xdr:to>
          <xdr:col>9</xdr:col>
          <xdr:colOff>390525</xdr:colOff>
          <xdr:row>12</xdr:row>
          <xdr:rowOff>104775</xdr:rowOff>
        </xdr:to>
        <xdr:sp macro="" textlink="">
          <xdr:nvSpPr>
            <xdr:cNvPr id="9223" name="Label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Despesas: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38100</xdr:rowOff>
        </xdr:from>
        <xdr:to>
          <xdr:col>12</xdr:col>
          <xdr:colOff>76200</xdr:colOff>
          <xdr:row>10</xdr:row>
          <xdr:rowOff>47625</xdr:rowOff>
        </xdr:to>
        <xdr:sp macro="" textlink="">
          <xdr:nvSpPr>
            <xdr:cNvPr id="9225" name="Group Box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Buscar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276225</xdr:colOff>
          <xdr:row>8</xdr:row>
          <xdr:rowOff>114300</xdr:rowOff>
        </xdr:from>
        <xdr:to>
          <xdr:col>11</xdr:col>
          <xdr:colOff>581025</xdr:colOff>
          <xdr:row>10</xdr:row>
          <xdr:rowOff>0</xdr:rowOff>
        </xdr:to>
        <xdr:sp macro="" textlink="">
          <xdr:nvSpPr>
            <xdr:cNvPr id="9226" name="btBuscarDespesas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2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495300</xdr:colOff>
          <xdr:row>18</xdr:row>
          <xdr:rowOff>171450</xdr:rowOff>
        </xdr:from>
        <xdr:to>
          <xdr:col>8</xdr:col>
          <xdr:colOff>428625</xdr:colOff>
          <xdr:row>21</xdr:row>
          <xdr:rowOff>171450</xdr:rowOff>
        </xdr:to>
        <xdr:sp macro="" textlink="">
          <xdr:nvSpPr>
            <xdr:cNvPr id="9227" name="btAlterarDespesas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104775</xdr:colOff>
          <xdr:row>18</xdr:row>
          <xdr:rowOff>171450</xdr:rowOff>
        </xdr:from>
        <xdr:to>
          <xdr:col>10</xdr:col>
          <xdr:colOff>38100</xdr:colOff>
          <xdr:row>21</xdr:row>
          <xdr:rowOff>171450</xdr:rowOff>
        </xdr:to>
        <xdr:sp macro="" textlink="">
          <xdr:nvSpPr>
            <xdr:cNvPr id="9228" name="btExcluirDespesas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372715</xdr:colOff>
      <xdr:row>4</xdr:row>
      <xdr:rowOff>142875</xdr:rowOff>
    </xdr:from>
    <xdr:to>
      <xdr:col>3</xdr:col>
      <xdr:colOff>372715</xdr:colOff>
      <xdr:row>22</xdr:row>
      <xdr:rowOff>0</xdr:rowOff>
    </xdr:to>
    <xdr:cxnSp macro="">
      <xdr:nvCxnSpPr>
        <xdr:cNvPr id="19" name="Conector ret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CxnSpPr/>
      </xdr:nvCxnSpPr>
      <xdr:spPr>
        <a:xfrm>
          <a:off x="2201515" y="904875"/>
          <a:ext cx="0" cy="3286125"/>
        </a:xfrm>
        <a:prstGeom prst="line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18</xdr:row>
          <xdr:rowOff>171450</xdr:rowOff>
        </xdr:from>
        <xdr:to>
          <xdr:col>7</xdr:col>
          <xdr:colOff>219075</xdr:colOff>
          <xdr:row>21</xdr:row>
          <xdr:rowOff>171450</xdr:rowOff>
        </xdr:to>
        <xdr:sp macro="" textlink="">
          <xdr:nvSpPr>
            <xdr:cNvPr id="9229" name="btCadastrarDespesas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00000000-0008-0000-0200-00000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190500</xdr:colOff>
          <xdr:row>8</xdr:row>
          <xdr:rowOff>152400</xdr:rowOff>
        </xdr:from>
        <xdr:to>
          <xdr:col>11</xdr:col>
          <xdr:colOff>0</xdr:colOff>
          <xdr:row>9</xdr:row>
          <xdr:rowOff>161925</xdr:rowOff>
        </xdr:to>
        <xdr:sp macro="" textlink="">
          <xdr:nvSpPr>
            <xdr:cNvPr id="9230" name="txtPesquisa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314325</xdr:colOff>
          <xdr:row>18</xdr:row>
          <xdr:rowOff>171450</xdr:rowOff>
        </xdr:from>
        <xdr:to>
          <xdr:col>11</xdr:col>
          <xdr:colOff>247650</xdr:colOff>
          <xdr:row>21</xdr:row>
          <xdr:rowOff>171450</xdr:rowOff>
        </xdr:to>
        <xdr:sp macro="" textlink="">
          <xdr:nvSpPr>
            <xdr:cNvPr id="9232" name="btCriarDespesas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180975</xdr:colOff>
          <xdr:row>14</xdr:row>
          <xdr:rowOff>123825</xdr:rowOff>
        </xdr:from>
        <xdr:to>
          <xdr:col>7</xdr:col>
          <xdr:colOff>390525</xdr:colOff>
          <xdr:row>15</xdr:row>
          <xdr:rowOff>95250</xdr:rowOff>
        </xdr:to>
        <xdr:sp macro="" textlink="">
          <xdr:nvSpPr>
            <xdr:cNvPr id="9233" name="Label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Descrição: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190500</xdr:colOff>
          <xdr:row>15</xdr:row>
          <xdr:rowOff>114300</xdr:rowOff>
        </xdr:from>
        <xdr:to>
          <xdr:col>8</xdr:col>
          <xdr:colOff>561975</xdr:colOff>
          <xdr:row>16</xdr:row>
          <xdr:rowOff>123825</xdr:rowOff>
        </xdr:to>
        <xdr:sp macro="" textlink="">
          <xdr:nvSpPr>
            <xdr:cNvPr id="9234" name="txtDesc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00000000-0008-0000-0200-00001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32</xdr:col>
      <xdr:colOff>142874</xdr:colOff>
      <xdr:row>3</xdr:row>
      <xdr:rowOff>171450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0" y="0"/>
          <a:ext cx="19650074" cy="742950"/>
        </a:xfrm>
        <a:prstGeom prst="rect">
          <a:avLst/>
        </a:prstGeom>
        <a:solidFill>
          <a:srgbClr val="2686EA"/>
        </a:solidFill>
        <a:ln>
          <a:solidFill>
            <a:schemeClr val="accent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104775</xdr:colOff>
      <xdr:row>0</xdr:row>
      <xdr:rowOff>9525</xdr:rowOff>
    </xdr:from>
    <xdr:to>
      <xdr:col>1</xdr:col>
      <xdr:colOff>220277</xdr:colOff>
      <xdr:row>3</xdr:row>
      <xdr:rowOff>158025</xdr:rowOff>
    </xdr:to>
    <xdr:pic>
      <xdr:nvPicPr>
        <xdr:cNvPr id="4" name="Gráfico 3" descr="Abertura com preenchimento sólido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4775" y="9525"/>
          <a:ext cx="725102" cy="720000"/>
        </a:xfrm>
        <a:prstGeom prst="rect">
          <a:avLst/>
        </a:prstGeom>
      </xdr:spPr>
    </xdr:pic>
    <xdr:clientData/>
  </xdr:twoCellAnchor>
  <xdr:twoCellAnchor>
    <xdr:from>
      <xdr:col>3</xdr:col>
      <xdr:colOff>416170</xdr:colOff>
      <xdr:row>0</xdr:row>
      <xdr:rowOff>0</xdr:rowOff>
    </xdr:from>
    <xdr:to>
      <xdr:col>5</xdr:col>
      <xdr:colOff>68921</xdr:colOff>
      <xdr:row>3</xdr:row>
      <xdr:rowOff>114300</xdr:rowOff>
    </xdr:to>
    <xdr:grpSp>
      <xdr:nvGrpSpPr>
        <xdr:cNvPr id="5" name="Agrupar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2244970" y="0"/>
          <a:ext cx="871951" cy="685800"/>
          <a:chOff x="1568015" y="0"/>
          <a:chExt cx="864467" cy="685800"/>
        </a:xfrm>
      </xdr:grpSpPr>
      <xdr:pic>
        <xdr:nvPicPr>
          <xdr:cNvPr id="6" name="Gráfico 5" descr="Gráfico de barras com tendência ascendente com preenchimento sólido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/>
        </xdr:blipFill>
        <xdr:spPr>
          <a:xfrm>
            <a:off x="1727804" y="0"/>
            <a:ext cx="535365" cy="540000"/>
          </a:xfrm>
          <a:prstGeom prst="rect">
            <a:avLst/>
          </a:prstGeom>
        </xdr:spPr>
      </xdr:pic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SpPr/>
        </xdr:nvSpPr>
        <xdr:spPr>
          <a:xfrm>
            <a:off x="1568015" y="488449"/>
            <a:ext cx="864467" cy="197351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pt-BR" sz="1200" b="1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Ganhos</a:t>
            </a:r>
          </a:p>
        </xdr:txBody>
      </xdr:sp>
    </xdr:grpSp>
    <xdr:clientData/>
  </xdr:twoCellAnchor>
  <xdr:twoCellAnchor>
    <xdr:from>
      <xdr:col>6</xdr:col>
      <xdr:colOff>164778</xdr:colOff>
      <xdr:row>0</xdr:row>
      <xdr:rowOff>0</xdr:rowOff>
    </xdr:from>
    <xdr:to>
      <xdr:col>7</xdr:col>
      <xdr:colOff>424748</xdr:colOff>
      <xdr:row>3</xdr:row>
      <xdr:rowOff>114300</xdr:rowOff>
    </xdr:to>
    <xdr:grpSp>
      <xdr:nvGrpSpPr>
        <xdr:cNvPr id="8" name="Agrupar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3822378" y="0"/>
          <a:ext cx="869570" cy="685800"/>
          <a:chOff x="3130115" y="0"/>
          <a:chExt cx="864467" cy="685800"/>
        </a:xfrm>
      </xdr:grpSpPr>
      <xdr:pic>
        <xdr:nvPicPr>
          <xdr:cNvPr id="9" name="Gráfico 8" descr="Gráfico de barras com tendência descendente com preenchimento sólido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3303459" y="0"/>
            <a:ext cx="536831" cy="540000"/>
          </a:xfrm>
          <a:prstGeom prst="rect">
            <a:avLst/>
          </a:prstGeom>
        </xdr:spPr>
      </xdr:pic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SpPr/>
        </xdr:nvSpPr>
        <xdr:spPr>
          <a:xfrm>
            <a:off x="3130115" y="488449"/>
            <a:ext cx="864467" cy="197351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pt-BR" sz="1200" b="1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Despesas</a:t>
            </a:r>
          </a:p>
          <a:p>
            <a:pPr algn="ctr"/>
            <a:endPara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>
    <xdr:from>
      <xdr:col>0</xdr:col>
      <xdr:colOff>132014</xdr:colOff>
      <xdr:row>11</xdr:row>
      <xdr:rowOff>1816</xdr:rowOff>
    </xdr:from>
    <xdr:to>
      <xdr:col>3</xdr:col>
      <xdr:colOff>162268</xdr:colOff>
      <xdr:row>12</xdr:row>
      <xdr:rowOff>162381</xdr:rowOff>
    </xdr:to>
    <xdr:sp macro="" textlink="">
      <xdr:nvSpPr>
        <xdr:cNvPr id="11" name="Retângulo: Cantos Arredondados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132014" y="2097316"/>
          <a:ext cx="1859054" cy="351065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00">
              <a:solidFill>
                <a:sysClr val="windowText" lastClr="000000"/>
              </a:solidFill>
            </a:rPr>
            <a:t>Cadastro de despesas</a:t>
          </a:r>
        </a:p>
        <a:p>
          <a:pPr algn="l"/>
          <a:endParaRPr lang="pt-BR" sz="1000">
            <a:solidFill>
              <a:sysClr val="windowText" lastClr="000000"/>
            </a:solidFill>
          </a:endParaRPr>
        </a:p>
        <a:p>
          <a:pPr algn="l"/>
          <a:endParaRPr lang="pt-BR" sz="1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131993</xdr:colOff>
      <xdr:row>8</xdr:row>
      <xdr:rowOff>102702</xdr:rowOff>
    </xdr:from>
    <xdr:to>
      <xdr:col>3</xdr:col>
      <xdr:colOff>162269</xdr:colOff>
      <xdr:row>10</xdr:row>
      <xdr:rowOff>72767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pSpPr/>
      </xdr:nvGrpSpPr>
      <xdr:grpSpPr>
        <a:xfrm>
          <a:off x="131993" y="1626702"/>
          <a:ext cx="1859076" cy="351065"/>
          <a:chOff x="141518" y="1104898"/>
          <a:chExt cx="1851931" cy="351065"/>
        </a:xfrm>
      </xdr:grpSpPr>
      <xdr:sp macro="" textlink="">
        <xdr:nvSpPr>
          <xdr:cNvPr id="13" name="Retângulo: Cantos Arredondados 12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600-00000D000000}"/>
              </a:ext>
            </a:extLst>
          </xdr:cNvPr>
          <xdr:cNvSpPr/>
        </xdr:nvSpPr>
        <xdr:spPr>
          <a:xfrm>
            <a:off x="141518" y="1104898"/>
            <a:ext cx="1851931" cy="351065"/>
          </a:xfrm>
          <a:prstGeom prst="roundRect">
            <a:avLst>
              <a:gd name="adj" fmla="val 50000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000" b="0">
                <a:solidFill>
                  <a:sysClr val="windowText" lastClr="000000"/>
                </a:solidFill>
              </a:rPr>
              <a:t>Cadastro</a:t>
            </a:r>
            <a:r>
              <a:rPr lang="pt-BR" sz="1000" b="0" baseline="0">
                <a:solidFill>
                  <a:sysClr val="windowText" lastClr="000000"/>
                </a:solidFill>
              </a:rPr>
              <a:t> de Ganhos</a:t>
            </a:r>
            <a:endParaRPr lang="pt-BR" sz="1000" b="0">
              <a:solidFill>
                <a:sysClr val="windowText" lastClr="000000"/>
              </a:solidFill>
            </a:endParaRPr>
          </a:p>
        </xdr:txBody>
      </xdr:sp>
      <xdr:pic>
        <xdr:nvPicPr>
          <xdr:cNvPr id="14" name="Gráfico 13" descr="Tendência ascendente com preenchimento sólido">
            <a:extLst>
              <a:ext uri="{FF2B5EF4-FFF2-40B4-BE49-F238E27FC236}">
                <a16:creationId xmlns:a16="http://schemas.microsoft.com/office/drawing/2014/main" id="{00000000-0008-0000-06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91051" y="1143005"/>
            <a:ext cx="286893" cy="288000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>
    <xdr:from>
      <xdr:col>3</xdr:col>
      <xdr:colOff>372715</xdr:colOff>
      <xdr:row>4</xdr:row>
      <xdr:rowOff>142875</xdr:rowOff>
    </xdr:from>
    <xdr:to>
      <xdr:col>3</xdr:col>
      <xdr:colOff>372715</xdr:colOff>
      <xdr:row>37</xdr:row>
      <xdr:rowOff>47625</xdr:rowOff>
    </xdr:to>
    <xdr:cxnSp macro="">
      <xdr:nvCxnSpPr>
        <xdr:cNvPr id="15" name="Conector reto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CxnSpPr/>
      </xdr:nvCxnSpPr>
      <xdr:spPr>
        <a:xfrm>
          <a:off x="2201515" y="904875"/>
          <a:ext cx="0" cy="6191250"/>
        </a:xfrm>
        <a:prstGeom prst="line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</xdr:colOff>
      <xdr:row>4</xdr:row>
      <xdr:rowOff>157576</xdr:rowOff>
    </xdr:from>
    <xdr:to>
      <xdr:col>3</xdr:col>
      <xdr:colOff>285751</xdr:colOff>
      <xdr:row>7</xdr:row>
      <xdr:rowOff>23035</xdr:rowOff>
    </xdr:to>
    <xdr:sp macro="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38100" y="919576"/>
          <a:ext cx="2076451" cy="436959"/>
        </a:xfrm>
        <a:prstGeom prst="roundRect">
          <a:avLst>
            <a:gd name="adj" fmla="val 50000"/>
          </a:avLst>
        </a:prstGeom>
        <a:solidFill>
          <a:srgbClr val="2686EA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bg1"/>
              </a:solidFill>
            </a:rPr>
            <a:t>Menu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4658EDF-FDEC-493E-B583-BA7555960FB7}" name="Tabela3" displayName="Tabela3" ref="B2:G206" totalsRowShown="0">
  <autoFilter ref="B2:G206" xr:uid="{E4658EDF-FDEC-493E-B583-BA7555960FB7}"/>
  <tableColumns count="6">
    <tableColumn id="1" xr3:uid="{9DE5DC21-FBB9-4431-9E09-1E15B90EAF77}" name="Data_Ganhos" dataDxfId="6"/>
    <tableColumn id="2" xr3:uid="{D53134BD-6213-4832-994D-4BDD1E791DF4}" name="Faturamento"/>
    <tableColumn id="3" xr3:uid="{3505905B-01A6-4492-BB22-EDB934C59E4B}" name="Viagens" dataDxfId="5"/>
    <tableColumn id="4" xr3:uid="{1CB28F50-66D6-416D-8719-C329A78E9E2E}" name="Qnt_Horas" dataDxfId="4"/>
    <tableColumn id="7" xr3:uid="{C5EF939B-3306-4902-BB05-CB3DE06CA5D1}" name="KMs" dataDxfId="3">
      <calculatedColumnFormula>RANDBETWEEN(200,300)</calculatedColumnFormula>
    </tableColumn>
    <tableColumn id="5" xr3:uid="{37825CEE-075C-470A-ADE2-1C927ACEDBA6}" name="Desc_Ganhos" dataDxfId="2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1C69922-4BDB-4E3F-8EEB-9CC5C629FACA}" name="Tabela35" displayName="Tabela35" ref="B2:D134" totalsRowShown="0">
  <autoFilter ref="B2:D134" xr:uid="{E4658EDF-FDEC-493E-B583-BA7555960FB7}"/>
  <sortState xmlns:xlrd2="http://schemas.microsoft.com/office/spreadsheetml/2017/richdata2" ref="B3:D126">
    <sortCondition ref="B2:B126"/>
  </sortState>
  <tableColumns count="3">
    <tableColumn id="8" xr3:uid="{B4C9D48F-A683-4DB0-8D35-27098CEEC041}" name="Data_Despesas" dataDxfId="1"/>
    <tableColumn id="6" xr3:uid="{6AEFDAE3-44DD-4122-B61B-FD4879DCFEA0}" name="Gastos" dataDxfId="0">
      <calculatedColumnFormula>RANDBETWEEN(100,120)*-1</calculatedColumnFormula>
    </tableColumn>
    <tableColumn id="7" xr3:uid="{06DE6834-F045-4CB9-9ADA-BFEA36B99325}" name="Desc_Gastos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6.xml"/><Relationship Id="rId18" Type="http://schemas.openxmlformats.org/officeDocument/2006/relationships/image" Target="../media/image17.emf"/><Relationship Id="rId26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0.xml"/><Relationship Id="rId7" Type="http://schemas.openxmlformats.org/officeDocument/2006/relationships/image" Target="../media/image12.emf"/><Relationship Id="rId12" Type="http://schemas.openxmlformats.org/officeDocument/2006/relationships/image" Target="../media/image14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6" Type="http://schemas.openxmlformats.org/officeDocument/2006/relationships/image" Target="../media/image16.emf"/><Relationship Id="rId20" Type="http://schemas.openxmlformats.org/officeDocument/2006/relationships/image" Target="../media/image18.emf"/><Relationship Id="rId29" Type="http://schemas.openxmlformats.org/officeDocument/2006/relationships/ctrlProp" Target="../ctrlProps/ctrlProp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image" Target="../media/image20.emf"/><Relationship Id="rId32" Type="http://schemas.openxmlformats.org/officeDocument/2006/relationships/ctrlProp" Target="../ctrlProps/ctrlProp7.xml"/><Relationship Id="rId5" Type="http://schemas.openxmlformats.org/officeDocument/2006/relationships/image" Target="../media/image11.emf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ctrlProp" Target="../ctrlProps/ctrlProp3.xml"/><Relationship Id="rId10" Type="http://schemas.openxmlformats.org/officeDocument/2006/relationships/control" Target="../activeX/activeX4.xml"/><Relationship Id="rId19" Type="http://schemas.openxmlformats.org/officeDocument/2006/relationships/control" Target="../activeX/activeX9.xml"/><Relationship Id="rId31" Type="http://schemas.openxmlformats.org/officeDocument/2006/relationships/ctrlProp" Target="../ctrlProps/ctrlProp6.xml"/><Relationship Id="rId4" Type="http://schemas.openxmlformats.org/officeDocument/2006/relationships/control" Target="../activeX/activeX1.xml"/><Relationship Id="rId9" Type="http://schemas.openxmlformats.org/officeDocument/2006/relationships/image" Target="../media/image13.emf"/><Relationship Id="rId14" Type="http://schemas.openxmlformats.org/officeDocument/2006/relationships/image" Target="../media/image15.emf"/><Relationship Id="rId22" Type="http://schemas.openxmlformats.org/officeDocument/2006/relationships/image" Target="../media/image19.emf"/><Relationship Id="rId27" Type="http://schemas.openxmlformats.org/officeDocument/2006/relationships/ctrlProp" Target="../ctrlProps/ctrlProp2.xml"/><Relationship Id="rId30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24.emf"/><Relationship Id="rId18" Type="http://schemas.openxmlformats.org/officeDocument/2006/relationships/control" Target="../activeX/activeX20.xml"/><Relationship Id="rId26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20.emf"/><Relationship Id="rId7" Type="http://schemas.openxmlformats.org/officeDocument/2006/relationships/image" Target="../media/image13.emf"/><Relationship Id="rId12" Type="http://schemas.openxmlformats.org/officeDocument/2006/relationships/control" Target="../activeX/activeX17.xml"/><Relationship Id="rId17" Type="http://schemas.openxmlformats.org/officeDocument/2006/relationships/image" Target="../media/image18.emf"/><Relationship Id="rId25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9.xml"/><Relationship Id="rId20" Type="http://schemas.openxmlformats.org/officeDocument/2006/relationships/control" Target="../activeX/activeX2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11" Type="http://schemas.openxmlformats.org/officeDocument/2006/relationships/image" Target="../media/image23.emf"/><Relationship Id="rId24" Type="http://schemas.openxmlformats.org/officeDocument/2006/relationships/ctrlProp" Target="../ctrlProps/ctrlProp11.xml"/><Relationship Id="rId5" Type="http://schemas.openxmlformats.org/officeDocument/2006/relationships/image" Target="../media/image11.emf"/><Relationship Id="rId15" Type="http://schemas.openxmlformats.org/officeDocument/2006/relationships/image" Target="../media/image25.emf"/><Relationship Id="rId23" Type="http://schemas.openxmlformats.org/officeDocument/2006/relationships/ctrlProp" Target="../ctrlProps/ctrlProp10.xml"/><Relationship Id="rId10" Type="http://schemas.openxmlformats.org/officeDocument/2006/relationships/control" Target="../activeX/activeX16.xml"/><Relationship Id="rId19" Type="http://schemas.openxmlformats.org/officeDocument/2006/relationships/image" Target="../media/image26.emf"/><Relationship Id="rId4" Type="http://schemas.openxmlformats.org/officeDocument/2006/relationships/control" Target="../activeX/activeX13.xml"/><Relationship Id="rId9" Type="http://schemas.openxmlformats.org/officeDocument/2006/relationships/image" Target="../media/image14.emf"/><Relationship Id="rId14" Type="http://schemas.openxmlformats.org/officeDocument/2006/relationships/control" Target="../activeX/activeX18.xml"/><Relationship Id="rId22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583A2-0C73-422E-BA7F-F3319CC24B52}">
  <sheetPr codeName="Cadastro"/>
  <dimension ref="A1:W87"/>
  <sheetViews>
    <sheetView showZeros="0" tabSelected="1" zoomScale="208" zoomScaleNormal="208" workbookViewId="0"/>
  </sheetViews>
  <sheetFormatPr defaultColWidth="9.140625" defaultRowHeight="15" customHeight="1" x14ac:dyDescent="0.25"/>
  <cols>
    <col min="1" max="14" width="9.140625" customWidth="1"/>
    <col min="15" max="15" width="3.42578125" customWidth="1"/>
    <col min="16" max="16" width="9.140625" customWidth="1"/>
    <col min="17" max="17" width="9" customWidth="1"/>
    <col min="18" max="18" width="9.140625" customWidth="1"/>
    <col min="19" max="19" width="1" customWidth="1"/>
    <col min="20" max="16383" width="9.140625" customWidth="1"/>
  </cols>
  <sheetData>
    <row r="1" spans="1:23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</row>
    <row r="2" spans="1:23" x14ac:dyDescent="0.2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</row>
    <row r="3" spans="1:23" x14ac:dyDescent="0.2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</row>
    <row r="4" spans="1:23" x14ac:dyDescent="0.2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</row>
    <row r="5" spans="1:23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</row>
    <row r="6" spans="1:23" x14ac:dyDescent="0.2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</row>
    <row r="7" spans="1:23" x14ac:dyDescent="0.25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</row>
    <row r="8" spans="1:23" x14ac:dyDescent="0.25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</row>
    <row r="9" spans="1:23" x14ac:dyDescent="0.25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</row>
    <row r="10" spans="1:23" x14ac:dyDescent="0.2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</row>
    <row r="11" spans="1:23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</row>
    <row r="12" spans="1:23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</row>
    <row r="13" spans="1:23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</row>
    <row r="14" spans="1:23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</row>
    <row r="15" spans="1:23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</row>
    <row r="16" spans="1:23" x14ac:dyDescent="0.2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</row>
    <row r="17" spans="1:23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</row>
    <row r="18" spans="1:23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</row>
    <row r="19" spans="1:23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</row>
    <row r="20" spans="1:23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</row>
    <row r="21" spans="1:23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</row>
    <row r="22" spans="1:23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</row>
    <row r="23" spans="1:23" ht="7.5" customHeight="1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</row>
    <row r="24" spans="1:23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</row>
    <row r="25" spans="1:23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</row>
    <row r="26" spans="1:23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</row>
    <row r="27" spans="1:23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</row>
    <row r="28" spans="1:23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</row>
    <row r="29" spans="1:23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</row>
    <row r="30" spans="1:23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</row>
    <row r="31" spans="1:23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</row>
    <row r="32" spans="1:23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</row>
    <row r="33" spans="1:23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</row>
    <row r="34" spans="1:23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</row>
    <row r="35" spans="1:23" x14ac:dyDescent="0.2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</row>
    <row r="36" spans="1:23" x14ac:dyDescent="0.2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</row>
    <row r="37" spans="1:23" x14ac:dyDescent="0.2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</row>
    <row r="38" spans="1:23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</row>
    <row r="39" spans="1:23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</row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ht="15" customHeight="1" x14ac:dyDescent="0.25"/>
    <row r="77" customFormat="1" ht="15" customHeight="1" x14ac:dyDescent="0.25"/>
    <row r="78" customFormat="1" ht="15" customHeight="1" x14ac:dyDescent="0.25"/>
    <row r="79" customFormat="1" ht="15" customHeight="1" x14ac:dyDescent="0.25"/>
    <row r="80" customFormat="1" ht="15" customHeight="1" x14ac:dyDescent="0.25"/>
    <row r="81" customFormat="1" ht="15" customHeight="1" x14ac:dyDescent="0.25"/>
    <row r="82" customFormat="1" ht="15" customHeight="1" x14ac:dyDescent="0.25"/>
    <row r="83" customFormat="1" ht="15" customHeight="1" x14ac:dyDescent="0.25"/>
    <row r="84" customFormat="1" ht="15" customHeight="1" x14ac:dyDescent="0.25"/>
    <row r="85" customFormat="1" ht="15" customHeight="1" x14ac:dyDescent="0.25"/>
    <row r="86" customFormat="1" ht="15" customHeight="1" x14ac:dyDescent="0.25"/>
    <row r="87" customFormat="1" ht="15" customHeight="1" x14ac:dyDescent="0.25"/>
  </sheetData>
  <sheetProtection sheet="1" objects="1" scenario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5ACF0-8627-49EC-9BF4-2F97FDDF4B75}">
  <sheetPr codeName="CadastroGanhos"/>
  <dimension ref="A1:W81"/>
  <sheetViews>
    <sheetView showGridLines="0" showRowColHeaders="0" showZeros="0" zoomScale="208" zoomScaleNormal="208" workbookViewId="0"/>
  </sheetViews>
  <sheetFormatPr defaultColWidth="0" defaultRowHeight="15" customHeight="1" zeroHeight="1" x14ac:dyDescent="0.25"/>
  <cols>
    <col min="1" max="14" width="9.140625" customWidth="1"/>
    <col min="15" max="15" width="3.42578125" customWidth="1"/>
    <col min="16" max="16" width="9.140625" hidden="1" customWidth="1"/>
    <col min="17" max="17" width="9" hidden="1" customWidth="1"/>
    <col min="18" max="18" width="9.140625" hidden="1" customWidth="1"/>
    <col min="19" max="19" width="1" hidden="1" customWidth="1"/>
    <col min="20" max="20" width="9.140625" hidden="1" customWidth="1"/>
    <col min="21" max="23" width="0" hidden="1" customWidth="1"/>
    <col min="24" max="16384" width="9.140625" hidden="1"/>
  </cols>
  <sheetData>
    <row r="1" spans="1:23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</row>
    <row r="2" spans="1:23" x14ac:dyDescent="0.2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</row>
    <row r="3" spans="1:23" x14ac:dyDescent="0.2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</row>
    <row r="4" spans="1:23" x14ac:dyDescent="0.2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</row>
    <row r="5" spans="1:23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</row>
    <row r="6" spans="1:23" x14ac:dyDescent="0.2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</row>
    <row r="7" spans="1:23" x14ac:dyDescent="0.25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</row>
    <row r="8" spans="1:23" x14ac:dyDescent="0.25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</row>
    <row r="9" spans="1:23" x14ac:dyDescent="0.25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</row>
    <row r="10" spans="1:23" x14ac:dyDescent="0.2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</row>
    <row r="11" spans="1:23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</row>
    <row r="12" spans="1:23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</row>
    <row r="13" spans="1:23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</row>
    <row r="14" spans="1:23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</row>
    <row r="15" spans="1:23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</row>
    <row r="16" spans="1:23" x14ac:dyDescent="0.2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</row>
    <row r="17" spans="1:23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</row>
    <row r="18" spans="1:23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</row>
    <row r="19" spans="1:23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</row>
    <row r="20" spans="1:23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</row>
    <row r="21" spans="1:23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</row>
    <row r="22" spans="1:23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</row>
    <row r="23" spans="1:23" ht="7.5" customHeight="1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</row>
    <row r="24" spans="1:23" hidden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</row>
    <row r="25" spans="1:23" hidden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</row>
    <row r="26" spans="1:23" hidden="1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</row>
    <row r="27" spans="1:23" hidden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</row>
    <row r="28" spans="1:23" hidden="1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</row>
    <row r="29" spans="1:23" hidden="1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</row>
    <row r="30" spans="1:23" hidden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</row>
    <row r="31" spans="1:23" hidden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</row>
    <row r="32" spans="1:23" hidden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</row>
    <row r="33" spans="1:23" hidden="1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</row>
    <row r="34" spans="1:23" hidden="1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</row>
    <row r="35" spans="1:23" hidden="1" x14ac:dyDescent="0.2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</row>
    <row r="36" spans="1:23" hidden="1" x14ac:dyDescent="0.2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</row>
    <row r="37" spans="1:23" hidden="1" x14ac:dyDescent="0.2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</row>
    <row r="38" spans="1:23" hidden="1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</row>
    <row r="39" spans="1:23" hidden="1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</row>
    <row r="49" customFormat="1" hidden="1" x14ac:dyDescent="0.25"/>
    <row r="50" customFormat="1" hidden="1" x14ac:dyDescent="0.25"/>
    <row r="51" customFormat="1" hidden="1" x14ac:dyDescent="0.25"/>
    <row r="52" customFormat="1" hidden="1" x14ac:dyDescent="0.25"/>
    <row r="53" customFormat="1" hidden="1" x14ac:dyDescent="0.25"/>
    <row r="54" customFormat="1" hidden="1" x14ac:dyDescent="0.25"/>
    <row r="55" customFormat="1" hidden="1" x14ac:dyDescent="0.25"/>
    <row r="56" customFormat="1" hidden="1" x14ac:dyDescent="0.25"/>
    <row r="57" customFormat="1" hidden="1" x14ac:dyDescent="0.25"/>
    <row r="58" customFormat="1" hidden="1" x14ac:dyDescent="0.25"/>
    <row r="59" customFormat="1" hidden="1" x14ac:dyDescent="0.25"/>
    <row r="60" customFormat="1" hidden="1" x14ac:dyDescent="0.25"/>
    <row r="61" customFormat="1" hidden="1" x14ac:dyDescent="0.25"/>
    <row r="62" customFormat="1" hidden="1" x14ac:dyDescent="0.25"/>
    <row r="63" customFormat="1" hidden="1" x14ac:dyDescent="0.25"/>
    <row r="64" customFormat="1" hidden="1" x14ac:dyDescent="0.25"/>
    <row r="65" customFormat="1" hidden="1" x14ac:dyDescent="0.25"/>
    <row r="66" customFormat="1" hidden="1" x14ac:dyDescent="0.25"/>
    <row r="67" customFormat="1" hidden="1" x14ac:dyDescent="0.25"/>
    <row r="68" customFormat="1" hidden="1" x14ac:dyDescent="0.25"/>
    <row r="69" customFormat="1" hidden="1" x14ac:dyDescent="0.25"/>
    <row r="70" customFormat="1" hidden="1" x14ac:dyDescent="0.25"/>
    <row r="71" customFormat="1" hidden="1" x14ac:dyDescent="0.25"/>
    <row r="72" customFormat="1" hidden="1" x14ac:dyDescent="0.25"/>
    <row r="73" customFormat="1" hidden="1" x14ac:dyDescent="0.25"/>
    <row r="74" customFormat="1" hidden="1" x14ac:dyDescent="0.25"/>
    <row r="75" customFormat="1" hidden="1" x14ac:dyDescent="0.25"/>
    <row r="76" customFormat="1" ht="15" hidden="1" customHeight="1" x14ac:dyDescent="0.25"/>
    <row r="77" customFormat="1" ht="15" hidden="1" customHeight="1" x14ac:dyDescent="0.25"/>
    <row r="78" customFormat="1" ht="15" hidden="1" customHeight="1" x14ac:dyDescent="0.25"/>
    <row r="79" customFormat="1" ht="15" hidden="1" customHeight="1" x14ac:dyDescent="0.25"/>
    <row r="80" customFormat="1" ht="15" hidden="1" customHeight="1" x14ac:dyDescent="0.25"/>
    <row r="81" customFormat="1" ht="15" hidden="1" customHeight="1" x14ac:dyDescent="0.25"/>
  </sheetData>
  <sheetProtection sheet="1" objects="1" scenarios="1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txtData">
          <controlPr defaultSize="0" autoLine="0" r:id="rId5">
            <anchor moveWithCells="1">
              <from>
                <xdr:col>6</xdr:col>
                <xdr:colOff>190500</xdr:colOff>
                <xdr:row>12</xdr:row>
                <xdr:rowOff>114300</xdr:rowOff>
              </from>
              <to>
                <xdr:col>7</xdr:col>
                <xdr:colOff>533400</xdr:colOff>
                <xdr:row>13</xdr:row>
                <xdr:rowOff>123825</xdr:rowOff>
              </to>
            </anchor>
          </controlPr>
        </control>
      </mc:Choice>
      <mc:Fallback>
        <control shapeId="5121" r:id="rId4" name="txtData"/>
      </mc:Fallback>
    </mc:AlternateContent>
    <mc:AlternateContent xmlns:mc="http://schemas.openxmlformats.org/markup-compatibility/2006">
      <mc:Choice Requires="x14">
        <control shapeId="5122" r:id="rId6" name="txtViagens">
          <controlPr defaultSize="0" autoLine="0" r:id="rId7">
            <anchor moveWithCells="1">
              <from>
                <xdr:col>11</xdr:col>
                <xdr:colOff>180975</xdr:colOff>
                <xdr:row>12</xdr:row>
                <xdr:rowOff>114300</xdr:rowOff>
              </from>
              <to>
                <xdr:col>12</xdr:col>
                <xdr:colOff>19050</xdr:colOff>
                <xdr:row>13</xdr:row>
                <xdr:rowOff>123825</xdr:rowOff>
              </to>
            </anchor>
          </controlPr>
        </control>
      </mc:Choice>
      <mc:Fallback>
        <control shapeId="5122" r:id="rId6" name="txtViagens"/>
      </mc:Fallback>
    </mc:AlternateContent>
    <mc:AlternateContent xmlns:mc="http://schemas.openxmlformats.org/markup-compatibility/2006">
      <mc:Choice Requires="x14">
        <control shapeId="5123" r:id="rId8" name="txtFaturamento">
          <controlPr defaultSize="0" autoLine="0" r:id="rId9">
            <anchor moveWithCells="1">
              <from>
                <xdr:col>8</xdr:col>
                <xdr:colOff>190500</xdr:colOff>
                <xdr:row>12</xdr:row>
                <xdr:rowOff>114300</xdr:rowOff>
              </from>
              <to>
                <xdr:col>10</xdr:col>
                <xdr:colOff>561975</xdr:colOff>
                <xdr:row>13</xdr:row>
                <xdr:rowOff>123825</xdr:rowOff>
              </to>
            </anchor>
          </controlPr>
        </control>
      </mc:Choice>
      <mc:Fallback>
        <control shapeId="5123" r:id="rId8" name="txtFaturamento"/>
      </mc:Fallback>
    </mc:AlternateContent>
    <mc:AlternateContent xmlns:mc="http://schemas.openxmlformats.org/markup-compatibility/2006">
      <mc:Choice Requires="x14">
        <control shapeId="5126" r:id="rId10" name="txtHoras">
          <controlPr defaultSize="0" autoLine="0" r:id="rId5">
            <anchor moveWithCells="1">
              <from>
                <xdr:col>6</xdr:col>
                <xdr:colOff>190500</xdr:colOff>
                <xdr:row>15</xdr:row>
                <xdr:rowOff>114300</xdr:rowOff>
              </from>
              <to>
                <xdr:col>7</xdr:col>
                <xdr:colOff>533400</xdr:colOff>
                <xdr:row>16</xdr:row>
                <xdr:rowOff>123825</xdr:rowOff>
              </to>
            </anchor>
          </controlPr>
        </control>
      </mc:Choice>
      <mc:Fallback>
        <control shapeId="5126" r:id="rId10" name="txtHoras"/>
      </mc:Fallback>
    </mc:AlternateContent>
    <mc:AlternateContent xmlns:mc="http://schemas.openxmlformats.org/markup-compatibility/2006">
      <mc:Choice Requires="x14">
        <control shapeId="5165" r:id="rId11" name="btBuscarGanhos">
          <controlPr defaultSize="0" autoLine="0" r:id="rId12">
            <anchor moveWithCells="1">
              <from>
                <xdr:col>11</xdr:col>
                <xdr:colOff>276225</xdr:colOff>
                <xdr:row>8</xdr:row>
                <xdr:rowOff>114300</xdr:rowOff>
              </from>
              <to>
                <xdr:col>11</xdr:col>
                <xdr:colOff>581025</xdr:colOff>
                <xdr:row>10</xdr:row>
                <xdr:rowOff>0</xdr:rowOff>
              </to>
            </anchor>
          </controlPr>
        </control>
      </mc:Choice>
      <mc:Fallback>
        <control shapeId="5165" r:id="rId11" name="btBuscarGanhos"/>
      </mc:Fallback>
    </mc:AlternateContent>
    <mc:AlternateContent xmlns:mc="http://schemas.openxmlformats.org/markup-compatibility/2006">
      <mc:Choice Requires="x14">
        <control shapeId="5166" r:id="rId13" name="btAlterarGanhos">
          <controlPr defaultSize="0" autoLine="0" r:id="rId14">
            <anchor moveWithCells="1">
              <from>
                <xdr:col>7</xdr:col>
                <xdr:colOff>495300</xdr:colOff>
                <xdr:row>18</xdr:row>
                <xdr:rowOff>171450</xdr:rowOff>
              </from>
              <to>
                <xdr:col>8</xdr:col>
                <xdr:colOff>428625</xdr:colOff>
                <xdr:row>21</xdr:row>
                <xdr:rowOff>171450</xdr:rowOff>
              </to>
            </anchor>
          </controlPr>
        </control>
      </mc:Choice>
      <mc:Fallback>
        <control shapeId="5166" r:id="rId13" name="btAlterarGanhos"/>
      </mc:Fallback>
    </mc:AlternateContent>
    <mc:AlternateContent xmlns:mc="http://schemas.openxmlformats.org/markup-compatibility/2006">
      <mc:Choice Requires="x14">
        <control shapeId="5167" r:id="rId15" name="btExcluirGanhos">
          <controlPr defaultSize="0" autoLine="0" r:id="rId16">
            <anchor moveWithCells="1">
              <from>
                <xdr:col>9</xdr:col>
                <xdr:colOff>104775</xdr:colOff>
                <xdr:row>18</xdr:row>
                <xdr:rowOff>171450</xdr:rowOff>
              </from>
              <to>
                <xdr:col>10</xdr:col>
                <xdr:colOff>38100</xdr:colOff>
                <xdr:row>21</xdr:row>
                <xdr:rowOff>171450</xdr:rowOff>
              </to>
            </anchor>
          </controlPr>
        </control>
      </mc:Choice>
      <mc:Fallback>
        <control shapeId="5167" r:id="rId15" name="btExcluirGanhos"/>
      </mc:Fallback>
    </mc:AlternateContent>
    <mc:AlternateContent xmlns:mc="http://schemas.openxmlformats.org/markup-compatibility/2006">
      <mc:Choice Requires="x14">
        <control shapeId="5168" r:id="rId17" name="btCadastrarGanhos">
          <controlPr defaultSize="0" autoLine="0" r:id="rId18">
            <anchor moveWithCells="1">
              <from>
                <xdr:col>6</xdr:col>
                <xdr:colOff>285750</xdr:colOff>
                <xdr:row>18</xdr:row>
                <xdr:rowOff>171450</xdr:rowOff>
              </from>
              <to>
                <xdr:col>7</xdr:col>
                <xdr:colOff>219075</xdr:colOff>
                <xdr:row>21</xdr:row>
                <xdr:rowOff>171450</xdr:rowOff>
              </to>
            </anchor>
          </controlPr>
        </control>
      </mc:Choice>
      <mc:Fallback>
        <control shapeId="5168" r:id="rId17" name="btCadastrarGanhos"/>
      </mc:Fallback>
    </mc:AlternateContent>
    <mc:AlternateContent xmlns:mc="http://schemas.openxmlformats.org/markup-compatibility/2006">
      <mc:Choice Requires="x14">
        <control shapeId="5169" r:id="rId19" name="txtPesquisa">
          <controlPr defaultSize="0" autoLine="0" r:id="rId20">
            <anchor moveWithCells="1">
              <from>
                <xdr:col>6</xdr:col>
                <xdr:colOff>190500</xdr:colOff>
                <xdr:row>8</xdr:row>
                <xdr:rowOff>152400</xdr:rowOff>
              </from>
              <to>
                <xdr:col>11</xdr:col>
                <xdr:colOff>0</xdr:colOff>
                <xdr:row>9</xdr:row>
                <xdr:rowOff>161925</xdr:rowOff>
              </to>
            </anchor>
          </controlPr>
        </control>
      </mc:Choice>
      <mc:Fallback>
        <control shapeId="5169" r:id="rId19" name="txtPesquisa"/>
      </mc:Fallback>
    </mc:AlternateContent>
    <mc:AlternateContent xmlns:mc="http://schemas.openxmlformats.org/markup-compatibility/2006">
      <mc:Choice Requires="x14">
        <control shapeId="5171" r:id="rId21" name="btCriarGanhos">
          <controlPr defaultSize="0" autoLine="0" r:id="rId22">
            <anchor moveWithCells="1">
              <from>
                <xdr:col>10</xdr:col>
                <xdr:colOff>314325</xdr:colOff>
                <xdr:row>18</xdr:row>
                <xdr:rowOff>171450</xdr:rowOff>
              </from>
              <to>
                <xdr:col>11</xdr:col>
                <xdr:colOff>247650</xdr:colOff>
                <xdr:row>21</xdr:row>
                <xdr:rowOff>171450</xdr:rowOff>
              </to>
            </anchor>
          </controlPr>
        </control>
      </mc:Choice>
      <mc:Fallback>
        <control shapeId="5171" r:id="rId21" name="btCriarGanhos"/>
      </mc:Fallback>
    </mc:AlternateContent>
    <mc:AlternateContent xmlns:mc="http://schemas.openxmlformats.org/markup-compatibility/2006">
      <mc:Choice Requires="x14">
        <control shapeId="5174" r:id="rId23" name="txtDesc">
          <controlPr defaultSize="0" autoLine="0" r:id="rId24">
            <anchor moveWithCells="1">
              <from>
                <xdr:col>9</xdr:col>
                <xdr:colOff>257175</xdr:colOff>
                <xdr:row>15</xdr:row>
                <xdr:rowOff>114300</xdr:rowOff>
              </from>
              <to>
                <xdr:col>12</xdr:col>
                <xdr:colOff>19050</xdr:colOff>
                <xdr:row>16</xdr:row>
                <xdr:rowOff>123825</xdr:rowOff>
              </to>
            </anchor>
          </controlPr>
        </control>
      </mc:Choice>
      <mc:Fallback>
        <control shapeId="5174" r:id="rId23" name="txtDesc"/>
      </mc:Fallback>
    </mc:AlternateContent>
    <mc:AlternateContent xmlns:mc="http://schemas.openxmlformats.org/markup-compatibility/2006">
      <mc:Choice Requires="x14">
        <control shapeId="5175" r:id="rId25" name="txtKM">
          <controlPr defaultSize="0" autoLine="0" r:id="rId7">
            <anchor moveWithCells="1">
              <from>
                <xdr:col>8</xdr:col>
                <xdr:colOff>123825</xdr:colOff>
                <xdr:row>15</xdr:row>
                <xdr:rowOff>114300</xdr:rowOff>
              </from>
              <to>
                <xdr:col>8</xdr:col>
                <xdr:colOff>571500</xdr:colOff>
                <xdr:row>16</xdr:row>
                <xdr:rowOff>123825</xdr:rowOff>
              </to>
            </anchor>
          </controlPr>
        </control>
      </mc:Choice>
      <mc:Fallback>
        <control shapeId="5175" r:id="rId25" name="txtKM"/>
      </mc:Fallback>
    </mc:AlternateContent>
    <mc:AlternateContent xmlns:mc="http://schemas.openxmlformats.org/markup-compatibility/2006">
      <mc:Choice Requires="x14">
        <control shapeId="5127" r:id="rId26" name="Group Box 7">
          <controlPr defaultSize="0" autoFill="0" autoPict="0">
            <anchor moveWithCells="1">
              <from>
                <xdr:col>6</xdr:col>
                <xdr:colOff>123825</xdr:colOff>
                <xdr:row>10</xdr:row>
                <xdr:rowOff>142875</xdr:rowOff>
              </from>
              <to>
                <xdr:col>12</xdr:col>
                <xdr:colOff>85725</xdr:colOff>
                <xdr:row>17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" r:id="rId27" name="Label 24">
          <controlPr defaultSize="0" autoFill="0" autoLine="0" autoPict="0">
            <anchor moveWithCells="1" sizeWithCells="1">
              <from>
                <xdr:col>6</xdr:col>
                <xdr:colOff>180975</xdr:colOff>
                <xdr:row>11</xdr:row>
                <xdr:rowOff>133350</xdr:rowOff>
              </from>
              <to>
                <xdr:col>7</xdr:col>
                <xdr:colOff>390525</xdr:colOff>
                <xdr:row>12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" r:id="rId28" name="Label 25">
          <controlPr defaultSize="0" autoFill="0" autoLine="0" autoPict="0">
            <anchor moveWithCells="1" sizeWithCells="1">
              <from>
                <xdr:col>8</xdr:col>
                <xdr:colOff>180975</xdr:colOff>
                <xdr:row>11</xdr:row>
                <xdr:rowOff>133350</xdr:rowOff>
              </from>
              <to>
                <xdr:col>9</xdr:col>
                <xdr:colOff>390525</xdr:colOff>
                <xdr:row>12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" r:id="rId29" name="Label 26">
          <controlPr defaultSize="0" autoFill="0" autoLine="0" autoPict="0">
            <anchor moveWithCells="1" sizeWithCells="1">
              <from>
                <xdr:col>11</xdr:col>
                <xdr:colOff>171450</xdr:colOff>
                <xdr:row>11</xdr:row>
                <xdr:rowOff>133350</xdr:rowOff>
              </from>
              <to>
                <xdr:col>13</xdr:col>
                <xdr:colOff>0</xdr:colOff>
                <xdr:row>12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62" r:id="rId30" name="Group Box 42">
          <controlPr defaultSize="0" autoFill="0" autoPict="0">
            <anchor moveWithCells="1">
              <from>
                <xdr:col>6</xdr:col>
                <xdr:colOff>114300</xdr:colOff>
                <xdr:row>8</xdr:row>
                <xdr:rowOff>38100</xdr:rowOff>
              </from>
              <to>
                <xdr:col>12</xdr:col>
                <xdr:colOff>76200</xdr:colOff>
                <xdr:row>10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70" r:id="rId31" name="Label 50">
          <controlPr defaultSize="0" autoFill="0" autoLine="0" autoPict="0">
            <anchor moveWithCells="1" sizeWithCells="1">
              <from>
                <xdr:col>6</xdr:col>
                <xdr:colOff>190500</xdr:colOff>
                <xdr:row>14</xdr:row>
                <xdr:rowOff>123825</xdr:rowOff>
              </from>
              <to>
                <xdr:col>8</xdr:col>
                <xdr:colOff>19050</xdr:colOff>
                <xdr:row>15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73" r:id="rId32" name="Label 53">
          <controlPr defaultSize="0" autoFill="0" autoLine="0" autoPict="0">
            <anchor moveWithCells="1" sizeWithCells="1">
              <from>
                <xdr:col>9</xdr:col>
                <xdr:colOff>257175</xdr:colOff>
                <xdr:row>14</xdr:row>
                <xdr:rowOff>123825</xdr:rowOff>
              </from>
              <to>
                <xdr:col>10</xdr:col>
                <xdr:colOff>466725</xdr:colOff>
                <xdr:row>15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76" r:id="rId33" name="Label 56">
          <controlPr defaultSize="0" autoFill="0" autoLine="0" autoPict="0">
            <anchor moveWithCells="1" sizeWithCells="1">
              <from>
                <xdr:col>8</xdr:col>
                <xdr:colOff>114300</xdr:colOff>
                <xdr:row>14</xdr:row>
                <xdr:rowOff>123825</xdr:rowOff>
              </from>
              <to>
                <xdr:col>9</xdr:col>
                <xdr:colOff>552450</xdr:colOff>
                <xdr:row>15</xdr:row>
                <xdr:rowOff>95250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6E443-E4F4-44B5-9253-74D101BF0D16}">
  <sheetPr codeName="CadastroDespesas"/>
  <dimension ref="A1:W87"/>
  <sheetViews>
    <sheetView showGridLines="0" showRowColHeaders="0" showZeros="0" zoomScale="208" zoomScaleNormal="208" workbookViewId="0"/>
  </sheetViews>
  <sheetFormatPr defaultColWidth="0" defaultRowHeight="15" customHeight="1" zeroHeight="1" x14ac:dyDescent="0.25"/>
  <cols>
    <col min="1" max="14" width="9.140625" customWidth="1"/>
    <col min="15" max="15" width="3.42578125" customWidth="1"/>
    <col min="16" max="16" width="9.140625" hidden="1" customWidth="1"/>
    <col min="17" max="17" width="9" hidden="1" customWidth="1"/>
    <col min="18" max="18" width="9.140625" hidden="1" customWidth="1"/>
    <col min="19" max="19" width="1" hidden="1" customWidth="1"/>
    <col min="20" max="20" width="9.140625" hidden="1" customWidth="1"/>
    <col min="21" max="23" width="0" hidden="1" customWidth="1"/>
    <col min="24" max="16384" width="9.140625" hidden="1"/>
  </cols>
  <sheetData>
    <row r="1" spans="1:23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</row>
    <row r="2" spans="1:23" x14ac:dyDescent="0.2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</row>
    <row r="3" spans="1:23" x14ac:dyDescent="0.2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</row>
    <row r="4" spans="1:23" x14ac:dyDescent="0.2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</row>
    <row r="5" spans="1:23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</row>
    <row r="6" spans="1:23" x14ac:dyDescent="0.2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</row>
    <row r="7" spans="1:23" x14ac:dyDescent="0.25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</row>
    <row r="8" spans="1:23" x14ac:dyDescent="0.25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</row>
    <row r="9" spans="1:23" x14ac:dyDescent="0.25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</row>
    <row r="10" spans="1:23" x14ac:dyDescent="0.2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</row>
    <row r="11" spans="1:23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</row>
    <row r="12" spans="1:23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</row>
    <row r="13" spans="1:23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</row>
    <row r="14" spans="1:23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</row>
    <row r="15" spans="1:23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</row>
    <row r="16" spans="1:23" x14ac:dyDescent="0.2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</row>
    <row r="17" spans="1:23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</row>
    <row r="18" spans="1:23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</row>
    <row r="19" spans="1:23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</row>
    <row r="20" spans="1:23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</row>
    <row r="21" spans="1:23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</row>
    <row r="22" spans="1:23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</row>
    <row r="23" spans="1:23" ht="7.5" customHeight="1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</row>
    <row r="24" spans="1:23" hidden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</row>
    <row r="25" spans="1:23" hidden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</row>
    <row r="26" spans="1:23" hidden="1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</row>
    <row r="27" spans="1:23" hidden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</row>
    <row r="28" spans="1:23" hidden="1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</row>
    <row r="29" spans="1:23" hidden="1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</row>
    <row r="30" spans="1:23" hidden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</row>
    <row r="31" spans="1:23" hidden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</row>
    <row r="32" spans="1:23" hidden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</row>
    <row r="33" spans="1:23" hidden="1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</row>
    <row r="34" spans="1:23" hidden="1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</row>
    <row r="35" spans="1:23" hidden="1" x14ac:dyDescent="0.2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</row>
    <row r="36" spans="1:23" hidden="1" x14ac:dyDescent="0.2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</row>
    <row r="37" spans="1:23" hidden="1" x14ac:dyDescent="0.2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</row>
    <row r="38" spans="1:23" hidden="1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</row>
    <row r="39" spans="1:23" hidden="1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</row>
    <row r="49" customFormat="1" hidden="1" x14ac:dyDescent="0.25"/>
    <row r="50" customFormat="1" hidden="1" x14ac:dyDescent="0.25"/>
    <row r="51" customFormat="1" hidden="1" x14ac:dyDescent="0.25"/>
    <row r="52" customFormat="1" hidden="1" x14ac:dyDescent="0.25"/>
    <row r="53" customFormat="1" hidden="1" x14ac:dyDescent="0.25"/>
    <row r="54" customFormat="1" hidden="1" x14ac:dyDescent="0.25"/>
    <row r="55" customFormat="1" hidden="1" x14ac:dyDescent="0.25"/>
    <row r="56" customFormat="1" hidden="1" x14ac:dyDescent="0.25"/>
    <row r="57" customFormat="1" hidden="1" x14ac:dyDescent="0.25"/>
    <row r="58" customFormat="1" hidden="1" x14ac:dyDescent="0.25"/>
    <row r="59" customFormat="1" hidden="1" x14ac:dyDescent="0.25"/>
    <row r="60" customFormat="1" hidden="1" x14ac:dyDescent="0.25"/>
    <row r="61" customFormat="1" hidden="1" x14ac:dyDescent="0.25"/>
    <row r="62" customFormat="1" hidden="1" x14ac:dyDescent="0.25"/>
    <row r="63" customFormat="1" hidden="1" x14ac:dyDescent="0.25"/>
    <row r="64" customFormat="1" hidden="1" x14ac:dyDescent="0.25"/>
    <row r="65" customFormat="1" hidden="1" x14ac:dyDescent="0.25"/>
    <row r="66" customFormat="1" hidden="1" x14ac:dyDescent="0.25"/>
    <row r="67" customFormat="1" hidden="1" x14ac:dyDescent="0.25"/>
    <row r="68" customFormat="1" hidden="1" x14ac:dyDescent="0.25"/>
    <row r="69" customFormat="1" hidden="1" x14ac:dyDescent="0.25"/>
    <row r="70" customFormat="1" hidden="1" x14ac:dyDescent="0.25"/>
    <row r="71" customFormat="1" hidden="1" x14ac:dyDescent="0.25"/>
    <row r="72" customFormat="1" hidden="1" x14ac:dyDescent="0.25"/>
    <row r="73" customFormat="1" hidden="1" x14ac:dyDescent="0.25"/>
    <row r="74" customFormat="1" hidden="1" x14ac:dyDescent="0.25"/>
    <row r="75" customFormat="1" hidden="1" x14ac:dyDescent="0.25"/>
    <row r="76" customFormat="1" ht="15" hidden="1" customHeight="1" x14ac:dyDescent="0.25"/>
    <row r="77" customFormat="1" ht="15" hidden="1" customHeight="1" x14ac:dyDescent="0.25"/>
    <row r="78" customFormat="1" ht="15" hidden="1" customHeight="1" x14ac:dyDescent="0.25"/>
    <row r="79" customFormat="1" ht="15" hidden="1" customHeight="1" x14ac:dyDescent="0.25"/>
    <row r="80" customFormat="1" ht="15" hidden="1" customHeight="1" x14ac:dyDescent="0.25"/>
    <row r="81" customFormat="1" ht="15" hidden="1" customHeight="1" x14ac:dyDescent="0.25"/>
    <row r="82" customFormat="1" ht="15" hidden="1" customHeight="1" x14ac:dyDescent="0.25"/>
    <row r="83" customFormat="1" ht="15" hidden="1" customHeight="1" x14ac:dyDescent="0.25"/>
    <row r="84" customFormat="1" ht="15" hidden="1" customHeight="1" x14ac:dyDescent="0.25"/>
    <row r="85" customFormat="1" ht="15" hidden="1" customHeight="1" x14ac:dyDescent="0.25"/>
    <row r="86" customFormat="1" ht="15" hidden="1" customHeight="1" x14ac:dyDescent="0.25"/>
    <row r="87" customFormat="1" ht="15" hidden="1" customHeight="1" x14ac:dyDescent="0.25"/>
  </sheetData>
  <sheetProtection sheet="1" objects="1" scenarios="1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txtData">
          <controlPr defaultSize="0" autoLine="0" r:id="rId5">
            <anchor moveWithCells="1">
              <from>
                <xdr:col>6</xdr:col>
                <xdr:colOff>190500</xdr:colOff>
                <xdr:row>12</xdr:row>
                <xdr:rowOff>114300</xdr:rowOff>
              </from>
              <to>
                <xdr:col>7</xdr:col>
                <xdr:colOff>533400</xdr:colOff>
                <xdr:row>13</xdr:row>
                <xdr:rowOff>123825</xdr:rowOff>
              </to>
            </anchor>
          </controlPr>
        </control>
      </mc:Choice>
      <mc:Fallback>
        <control shapeId="9217" r:id="rId4" name="txtData"/>
      </mc:Fallback>
    </mc:AlternateContent>
    <mc:AlternateContent xmlns:mc="http://schemas.openxmlformats.org/markup-compatibility/2006">
      <mc:Choice Requires="x14">
        <control shapeId="9219" r:id="rId6" name="txtDespesas">
          <controlPr defaultSize="0" autoLine="0" r:id="rId7">
            <anchor moveWithCells="1">
              <from>
                <xdr:col>8</xdr:col>
                <xdr:colOff>190500</xdr:colOff>
                <xdr:row>12</xdr:row>
                <xdr:rowOff>114300</xdr:rowOff>
              </from>
              <to>
                <xdr:col>10</xdr:col>
                <xdr:colOff>561975</xdr:colOff>
                <xdr:row>13</xdr:row>
                <xdr:rowOff>123825</xdr:rowOff>
              </to>
            </anchor>
          </controlPr>
        </control>
      </mc:Choice>
      <mc:Fallback>
        <control shapeId="9219" r:id="rId6" name="txtDespesas"/>
      </mc:Fallback>
    </mc:AlternateContent>
    <mc:AlternateContent xmlns:mc="http://schemas.openxmlformats.org/markup-compatibility/2006">
      <mc:Choice Requires="x14">
        <control shapeId="9226" r:id="rId8" name="btBuscarDespesas">
          <controlPr defaultSize="0" autoLine="0" r:id="rId9">
            <anchor moveWithCells="1">
              <from>
                <xdr:col>11</xdr:col>
                <xdr:colOff>276225</xdr:colOff>
                <xdr:row>8</xdr:row>
                <xdr:rowOff>114300</xdr:rowOff>
              </from>
              <to>
                <xdr:col>11</xdr:col>
                <xdr:colOff>581025</xdr:colOff>
                <xdr:row>10</xdr:row>
                <xdr:rowOff>0</xdr:rowOff>
              </to>
            </anchor>
          </controlPr>
        </control>
      </mc:Choice>
      <mc:Fallback>
        <control shapeId="9226" r:id="rId8" name="btBuscarDespesas"/>
      </mc:Fallback>
    </mc:AlternateContent>
    <mc:AlternateContent xmlns:mc="http://schemas.openxmlformats.org/markup-compatibility/2006">
      <mc:Choice Requires="x14">
        <control shapeId="9227" r:id="rId10" name="btAlterarDespesas">
          <controlPr defaultSize="0" disabled="1" autoLine="0" r:id="rId11">
            <anchor moveWithCells="1">
              <from>
                <xdr:col>7</xdr:col>
                <xdr:colOff>495300</xdr:colOff>
                <xdr:row>18</xdr:row>
                <xdr:rowOff>171450</xdr:rowOff>
              </from>
              <to>
                <xdr:col>8</xdr:col>
                <xdr:colOff>428625</xdr:colOff>
                <xdr:row>21</xdr:row>
                <xdr:rowOff>171450</xdr:rowOff>
              </to>
            </anchor>
          </controlPr>
        </control>
      </mc:Choice>
      <mc:Fallback>
        <control shapeId="9227" r:id="rId10" name="btAlterarDespesas"/>
      </mc:Fallback>
    </mc:AlternateContent>
    <mc:AlternateContent xmlns:mc="http://schemas.openxmlformats.org/markup-compatibility/2006">
      <mc:Choice Requires="x14">
        <control shapeId="9228" r:id="rId12" name="btExcluirDespesas">
          <controlPr defaultSize="0" disabled="1" autoLine="0" r:id="rId13">
            <anchor moveWithCells="1">
              <from>
                <xdr:col>9</xdr:col>
                <xdr:colOff>104775</xdr:colOff>
                <xdr:row>18</xdr:row>
                <xdr:rowOff>171450</xdr:rowOff>
              </from>
              <to>
                <xdr:col>10</xdr:col>
                <xdr:colOff>38100</xdr:colOff>
                <xdr:row>21</xdr:row>
                <xdr:rowOff>171450</xdr:rowOff>
              </to>
            </anchor>
          </controlPr>
        </control>
      </mc:Choice>
      <mc:Fallback>
        <control shapeId="9228" r:id="rId12" name="btExcluirDespesas"/>
      </mc:Fallback>
    </mc:AlternateContent>
    <mc:AlternateContent xmlns:mc="http://schemas.openxmlformats.org/markup-compatibility/2006">
      <mc:Choice Requires="x14">
        <control shapeId="9229" r:id="rId14" name="btCadastrarDespesas">
          <controlPr defaultSize="0" autoLine="0" r:id="rId15">
            <anchor moveWithCells="1">
              <from>
                <xdr:col>6</xdr:col>
                <xdr:colOff>285750</xdr:colOff>
                <xdr:row>18</xdr:row>
                <xdr:rowOff>171450</xdr:rowOff>
              </from>
              <to>
                <xdr:col>7</xdr:col>
                <xdr:colOff>219075</xdr:colOff>
                <xdr:row>21</xdr:row>
                <xdr:rowOff>171450</xdr:rowOff>
              </to>
            </anchor>
          </controlPr>
        </control>
      </mc:Choice>
      <mc:Fallback>
        <control shapeId="9229" r:id="rId14" name="btCadastrarDespesas"/>
      </mc:Fallback>
    </mc:AlternateContent>
    <mc:AlternateContent xmlns:mc="http://schemas.openxmlformats.org/markup-compatibility/2006">
      <mc:Choice Requires="x14">
        <control shapeId="9230" r:id="rId16" name="txtPesquisa">
          <controlPr defaultSize="0" autoLine="0" r:id="rId17">
            <anchor moveWithCells="1">
              <from>
                <xdr:col>6</xdr:col>
                <xdr:colOff>190500</xdr:colOff>
                <xdr:row>8</xdr:row>
                <xdr:rowOff>152400</xdr:rowOff>
              </from>
              <to>
                <xdr:col>11</xdr:col>
                <xdr:colOff>0</xdr:colOff>
                <xdr:row>9</xdr:row>
                <xdr:rowOff>161925</xdr:rowOff>
              </to>
            </anchor>
          </controlPr>
        </control>
      </mc:Choice>
      <mc:Fallback>
        <control shapeId="9230" r:id="rId16" name="txtPesquisa"/>
      </mc:Fallback>
    </mc:AlternateContent>
    <mc:AlternateContent xmlns:mc="http://schemas.openxmlformats.org/markup-compatibility/2006">
      <mc:Choice Requires="x14">
        <control shapeId="9232" r:id="rId18" name="btCriarDespesas">
          <controlPr defaultSize="0" disabled="1" autoLine="0" r:id="rId19">
            <anchor moveWithCells="1">
              <from>
                <xdr:col>10</xdr:col>
                <xdr:colOff>314325</xdr:colOff>
                <xdr:row>18</xdr:row>
                <xdr:rowOff>171450</xdr:rowOff>
              </from>
              <to>
                <xdr:col>11</xdr:col>
                <xdr:colOff>247650</xdr:colOff>
                <xdr:row>21</xdr:row>
                <xdr:rowOff>171450</xdr:rowOff>
              </to>
            </anchor>
          </controlPr>
        </control>
      </mc:Choice>
      <mc:Fallback>
        <control shapeId="9232" r:id="rId18" name="btCriarDespesas"/>
      </mc:Fallback>
    </mc:AlternateContent>
    <mc:AlternateContent xmlns:mc="http://schemas.openxmlformats.org/markup-compatibility/2006">
      <mc:Choice Requires="x14">
        <control shapeId="9234" r:id="rId20" name="txtDesc">
          <controlPr defaultSize="0" autoLine="0" r:id="rId21">
            <anchor moveWithCells="1">
              <from>
                <xdr:col>6</xdr:col>
                <xdr:colOff>190500</xdr:colOff>
                <xdr:row>15</xdr:row>
                <xdr:rowOff>114300</xdr:rowOff>
              </from>
              <to>
                <xdr:col>8</xdr:col>
                <xdr:colOff>561975</xdr:colOff>
                <xdr:row>16</xdr:row>
                <xdr:rowOff>123825</xdr:rowOff>
              </to>
            </anchor>
          </controlPr>
        </control>
      </mc:Choice>
      <mc:Fallback>
        <control shapeId="9234" r:id="rId20" name="txtDesc"/>
      </mc:Fallback>
    </mc:AlternateContent>
    <mc:AlternateContent xmlns:mc="http://schemas.openxmlformats.org/markup-compatibility/2006">
      <mc:Choice Requires="x14">
        <control shapeId="9221" r:id="rId22" name="Group Box 5">
          <controlPr defaultSize="0" autoFill="0" autoPict="0">
            <anchor moveWithCells="1">
              <from>
                <xdr:col>6</xdr:col>
                <xdr:colOff>123825</xdr:colOff>
                <xdr:row>10</xdr:row>
                <xdr:rowOff>142875</xdr:rowOff>
              </from>
              <to>
                <xdr:col>12</xdr:col>
                <xdr:colOff>85725</xdr:colOff>
                <xdr:row>17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2" r:id="rId23" name="Label 6">
          <controlPr defaultSize="0" autoFill="0" autoLine="0" autoPict="0">
            <anchor moveWithCells="1" sizeWithCells="1">
              <from>
                <xdr:col>6</xdr:col>
                <xdr:colOff>180975</xdr:colOff>
                <xdr:row>11</xdr:row>
                <xdr:rowOff>133350</xdr:rowOff>
              </from>
              <to>
                <xdr:col>7</xdr:col>
                <xdr:colOff>390525</xdr:colOff>
                <xdr:row>12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3" r:id="rId24" name="Label 7">
          <controlPr defaultSize="0" autoFill="0" autoLine="0" autoPict="0">
            <anchor moveWithCells="1" sizeWithCells="1">
              <from>
                <xdr:col>8</xdr:col>
                <xdr:colOff>180975</xdr:colOff>
                <xdr:row>11</xdr:row>
                <xdr:rowOff>133350</xdr:rowOff>
              </from>
              <to>
                <xdr:col>9</xdr:col>
                <xdr:colOff>390525</xdr:colOff>
                <xdr:row>12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5" r:id="rId25" name="Group Box 9">
          <controlPr defaultSize="0" autoFill="0" autoPict="0">
            <anchor moveWithCells="1">
              <from>
                <xdr:col>6</xdr:col>
                <xdr:colOff>114300</xdr:colOff>
                <xdr:row>8</xdr:row>
                <xdr:rowOff>38100</xdr:rowOff>
              </from>
              <to>
                <xdr:col>12</xdr:col>
                <xdr:colOff>76200</xdr:colOff>
                <xdr:row>10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33" r:id="rId26" name="Label 17">
          <controlPr defaultSize="0" autoFill="0" autoLine="0" autoPict="0">
            <anchor moveWithCells="1" sizeWithCells="1">
              <from>
                <xdr:col>6</xdr:col>
                <xdr:colOff>180975</xdr:colOff>
                <xdr:row>14</xdr:row>
                <xdr:rowOff>123825</xdr:rowOff>
              </from>
              <to>
                <xdr:col>7</xdr:col>
                <xdr:colOff>390525</xdr:colOff>
                <xdr:row>15</xdr:row>
                <xdr:rowOff>95250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3E585-A73F-427F-9DF8-E6039F6C986F}">
  <sheetPr codeName="Planilha2"/>
  <dimension ref="B2:G206"/>
  <sheetViews>
    <sheetView topLeftCell="E186" zoomScaleNormal="100" workbookViewId="0">
      <selection activeCell="G193" sqref="G193"/>
    </sheetView>
  </sheetViews>
  <sheetFormatPr defaultRowHeight="15" x14ac:dyDescent="0.25"/>
  <cols>
    <col min="2" max="2" width="15" style="1" bestFit="1" customWidth="1"/>
    <col min="3" max="3" width="14.7109375" style="7" bestFit="1" customWidth="1"/>
    <col min="4" max="4" width="14" customWidth="1"/>
    <col min="5" max="5" width="16.28515625" style="3" customWidth="1"/>
    <col min="6" max="6" width="16.28515625" customWidth="1"/>
    <col min="7" max="7" width="25.7109375" customWidth="1"/>
  </cols>
  <sheetData>
    <row r="2" spans="2:7" x14ac:dyDescent="0.25">
      <c r="B2" s="1" t="s">
        <v>0</v>
      </c>
      <c r="C2" s="7" t="s">
        <v>1</v>
      </c>
      <c r="D2" t="s">
        <v>2</v>
      </c>
      <c r="E2" s="3" t="s">
        <v>3</v>
      </c>
      <c r="F2" t="s">
        <v>4</v>
      </c>
      <c r="G2" t="s">
        <v>5</v>
      </c>
    </row>
    <row r="3" spans="2:7" x14ac:dyDescent="0.25">
      <c r="B3" s="1">
        <v>44857</v>
      </c>
      <c r="C3" s="7">
        <v>805.28</v>
      </c>
      <c r="D3">
        <v>24</v>
      </c>
      <c r="E3" s="9">
        <v>0.48194444444444445</v>
      </c>
      <c r="F3">
        <v>255</v>
      </c>
      <c r="G3" s="6" t="s">
        <v>6</v>
      </c>
    </row>
    <row r="4" spans="2:7" x14ac:dyDescent="0.25">
      <c r="B4" s="1">
        <v>44856</v>
      </c>
      <c r="C4" s="7">
        <v>691.91</v>
      </c>
      <c r="D4">
        <v>28</v>
      </c>
      <c r="E4" s="9">
        <v>0.58333333333333337</v>
      </c>
      <c r="F4">
        <v>231</v>
      </c>
      <c r="G4" s="6" t="s">
        <v>6</v>
      </c>
    </row>
    <row r="5" spans="2:7" x14ac:dyDescent="0.25">
      <c r="B5" s="1">
        <v>44855</v>
      </c>
      <c r="C5" s="7">
        <v>748.12</v>
      </c>
      <c r="D5">
        <v>19</v>
      </c>
      <c r="E5" s="9">
        <v>0.66736111111111107</v>
      </c>
      <c r="F5">
        <v>211</v>
      </c>
      <c r="G5" s="6" t="s">
        <v>6</v>
      </c>
    </row>
    <row r="6" spans="2:7" x14ac:dyDescent="0.25">
      <c r="B6" s="1">
        <v>44854</v>
      </c>
      <c r="C6" s="7">
        <v>290.93</v>
      </c>
      <c r="D6">
        <v>10</v>
      </c>
      <c r="E6" s="9">
        <v>0.45833333333333331</v>
      </c>
      <c r="F6">
        <v>227</v>
      </c>
      <c r="G6" s="6" t="s">
        <v>6</v>
      </c>
    </row>
    <row r="7" spans="2:7" x14ac:dyDescent="0.25">
      <c r="B7" s="1">
        <v>44850</v>
      </c>
      <c r="C7" s="7">
        <v>158.25</v>
      </c>
      <c r="D7">
        <v>5</v>
      </c>
      <c r="E7" s="9">
        <v>0.19375000000000001</v>
      </c>
      <c r="F7">
        <v>230</v>
      </c>
      <c r="G7" s="6" t="s">
        <v>6</v>
      </c>
    </row>
    <row r="8" spans="2:7" x14ac:dyDescent="0.25">
      <c r="B8" s="1">
        <v>44849</v>
      </c>
      <c r="C8" s="7">
        <v>347.79</v>
      </c>
      <c r="D8">
        <v>14</v>
      </c>
      <c r="E8" s="9">
        <v>0.49583333333333335</v>
      </c>
      <c r="F8">
        <v>267</v>
      </c>
      <c r="G8" s="6" t="s">
        <v>6</v>
      </c>
    </row>
    <row r="9" spans="2:7" x14ac:dyDescent="0.25">
      <c r="B9" s="1">
        <v>44848</v>
      </c>
      <c r="C9" s="7">
        <v>321.7</v>
      </c>
      <c r="D9">
        <v>12</v>
      </c>
      <c r="E9" s="9">
        <v>0.54791666666666672</v>
      </c>
      <c r="F9">
        <v>216</v>
      </c>
      <c r="G9" s="6" t="s">
        <v>6</v>
      </c>
    </row>
    <row r="10" spans="2:7" x14ac:dyDescent="0.25">
      <c r="B10" s="1">
        <v>44847</v>
      </c>
      <c r="C10" s="7">
        <v>325.43</v>
      </c>
      <c r="D10">
        <v>12</v>
      </c>
      <c r="E10" s="9">
        <v>0.47152777777777777</v>
      </c>
      <c r="F10">
        <v>261</v>
      </c>
      <c r="G10" s="6" t="s">
        <v>6</v>
      </c>
    </row>
    <row r="11" spans="2:7" x14ac:dyDescent="0.25">
      <c r="B11" s="1">
        <v>44846</v>
      </c>
      <c r="C11" s="7">
        <v>70.44</v>
      </c>
      <c r="D11">
        <v>4</v>
      </c>
      <c r="E11" s="9">
        <v>9.2361111111111116E-2</v>
      </c>
      <c r="F11">
        <v>242</v>
      </c>
      <c r="G11" s="6" t="s">
        <v>6</v>
      </c>
    </row>
    <row r="12" spans="2:7" x14ac:dyDescent="0.25">
      <c r="B12" s="1">
        <v>44844</v>
      </c>
      <c r="C12" s="7">
        <v>388.48</v>
      </c>
      <c r="D12">
        <v>26</v>
      </c>
      <c r="E12" s="9">
        <v>0.4381944444444445</v>
      </c>
      <c r="F12">
        <v>269</v>
      </c>
      <c r="G12" s="6" t="s">
        <v>6</v>
      </c>
    </row>
    <row r="13" spans="2:7" x14ac:dyDescent="0.25">
      <c r="B13" s="1">
        <v>44843</v>
      </c>
      <c r="C13" s="7">
        <v>517.36</v>
      </c>
      <c r="D13">
        <v>18</v>
      </c>
      <c r="E13" s="9">
        <v>0.43472222222222223</v>
      </c>
      <c r="F13">
        <v>274</v>
      </c>
      <c r="G13" s="6" t="s">
        <v>6</v>
      </c>
    </row>
    <row r="14" spans="2:7" x14ac:dyDescent="0.25">
      <c r="B14" s="1">
        <v>44842</v>
      </c>
      <c r="C14" s="7">
        <v>517.36</v>
      </c>
      <c r="D14">
        <v>28</v>
      </c>
      <c r="E14" s="9">
        <v>0.59444444444444444</v>
      </c>
      <c r="F14">
        <v>221</v>
      </c>
      <c r="G14" s="6" t="s">
        <v>6</v>
      </c>
    </row>
    <row r="15" spans="2:7" x14ac:dyDescent="0.25">
      <c r="B15" s="1">
        <v>44841</v>
      </c>
      <c r="C15" s="7">
        <v>441.17</v>
      </c>
      <c r="D15">
        <v>24</v>
      </c>
      <c r="E15" s="9">
        <v>0.51041666666666663</v>
      </c>
      <c r="F15">
        <v>296</v>
      </c>
      <c r="G15" s="6" t="s">
        <v>6</v>
      </c>
    </row>
    <row r="16" spans="2:7" x14ac:dyDescent="0.25">
      <c r="B16" s="1">
        <v>44840</v>
      </c>
      <c r="C16" s="7">
        <v>391.43</v>
      </c>
      <c r="D16">
        <v>16</v>
      </c>
      <c r="E16" s="9">
        <v>0.59652777777777777</v>
      </c>
      <c r="F16">
        <v>227</v>
      </c>
      <c r="G16" s="6" t="s">
        <v>6</v>
      </c>
    </row>
    <row r="17" spans="2:7" x14ac:dyDescent="0.25">
      <c r="B17" s="1">
        <v>44837</v>
      </c>
      <c r="C17" s="7">
        <v>198.76</v>
      </c>
      <c r="D17">
        <v>9</v>
      </c>
      <c r="E17" s="9">
        <v>0.30416666666666664</v>
      </c>
      <c r="F17">
        <v>203</v>
      </c>
      <c r="G17" s="6" t="s">
        <v>6</v>
      </c>
    </row>
    <row r="18" spans="2:7" x14ac:dyDescent="0.25">
      <c r="B18" s="1">
        <v>44836</v>
      </c>
      <c r="C18" s="7">
        <v>779.44</v>
      </c>
      <c r="D18">
        <v>34</v>
      </c>
      <c r="E18" s="9">
        <v>0.50694444444444442</v>
      </c>
      <c r="F18">
        <v>269</v>
      </c>
      <c r="G18" s="6" t="s">
        <v>6</v>
      </c>
    </row>
    <row r="19" spans="2:7" x14ac:dyDescent="0.25">
      <c r="B19" s="1">
        <v>44835</v>
      </c>
      <c r="C19" s="7">
        <v>472.49</v>
      </c>
      <c r="D19">
        <v>21</v>
      </c>
      <c r="E19" s="9">
        <v>0.59583333333333333</v>
      </c>
      <c r="F19">
        <v>270</v>
      </c>
      <c r="G19" s="6" t="s">
        <v>6</v>
      </c>
    </row>
    <row r="20" spans="2:7" x14ac:dyDescent="0.25">
      <c r="B20" s="1">
        <v>44834</v>
      </c>
      <c r="C20" s="7">
        <v>453.31</v>
      </c>
      <c r="D20">
        <v>15</v>
      </c>
      <c r="E20" s="9">
        <v>0.60555555555555551</v>
      </c>
      <c r="F20">
        <v>294</v>
      </c>
      <c r="G20" s="6" t="s">
        <v>6</v>
      </c>
    </row>
    <row r="21" spans="2:7" x14ac:dyDescent="0.25">
      <c r="B21" s="1">
        <v>44833</v>
      </c>
      <c r="C21" s="7">
        <v>509</v>
      </c>
      <c r="D21">
        <v>25</v>
      </c>
      <c r="E21" s="9">
        <v>0.48194444444444445</v>
      </c>
      <c r="F21">
        <v>265</v>
      </c>
      <c r="G21" s="6" t="s">
        <v>6</v>
      </c>
    </row>
    <row r="22" spans="2:7" x14ac:dyDescent="0.25">
      <c r="B22" s="1">
        <v>44832</v>
      </c>
      <c r="C22" s="7">
        <v>572</v>
      </c>
      <c r="D22">
        <v>17</v>
      </c>
      <c r="E22" s="9">
        <v>0.58333333333333337</v>
      </c>
      <c r="F22">
        <v>295</v>
      </c>
      <c r="G22" s="6" t="s">
        <v>6</v>
      </c>
    </row>
    <row r="23" spans="2:7" x14ac:dyDescent="0.25">
      <c r="B23" s="1">
        <v>44831</v>
      </c>
      <c r="C23" s="7">
        <v>493</v>
      </c>
      <c r="D23">
        <v>23</v>
      </c>
      <c r="E23" s="9">
        <v>0.66736111111111107</v>
      </c>
      <c r="F23">
        <v>258</v>
      </c>
      <c r="G23" s="6" t="s">
        <v>6</v>
      </c>
    </row>
    <row r="24" spans="2:7" x14ac:dyDescent="0.25">
      <c r="B24" s="1">
        <v>44830</v>
      </c>
      <c r="C24" s="7">
        <v>574</v>
      </c>
      <c r="D24">
        <v>23</v>
      </c>
      <c r="E24" s="9">
        <v>0.45833333333333331</v>
      </c>
      <c r="F24">
        <v>264</v>
      </c>
      <c r="G24" s="6" t="s">
        <v>6</v>
      </c>
    </row>
    <row r="25" spans="2:7" x14ac:dyDescent="0.25">
      <c r="B25" s="1">
        <v>44829</v>
      </c>
      <c r="C25" s="7">
        <v>521</v>
      </c>
      <c r="D25">
        <v>20</v>
      </c>
      <c r="E25" s="9">
        <v>0.19375000000000001</v>
      </c>
      <c r="F25">
        <v>290</v>
      </c>
      <c r="G25" s="6" t="s">
        <v>6</v>
      </c>
    </row>
    <row r="26" spans="2:7" x14ac:dyDescent="0.25">
      <c r="B26" s="1">
        <v>44828</v>
      </c>
      <c r="C26" s="7">
        <v>511</v>
      </c>
      <c r="D26">
        <v>21</v>
      </c>
      <c r="E26" s="9">
        <v>0.49583333333333335</v>
      </c>
      <c r="F26">
        <v>224</v>
      </c>
      <c r="G26" s="6" t="s">
        <v>6</v>
      </c>
    </row>
    <row r="27" spans="2:7" x14ac:dyDescent="0.25">
      <c r="B27" s="1">
        <v>44827</v>
      </c>
      <c r="C27" s="7">
        <v>658</v>
      </c>
      <c r="D27">
        <v>26</v>
      </c>
      <c r="E27" s="9">
        <v>0.54791666666666672</v>
      </c>
      <c r="F27">
        <v>208</v>
      </c>
      <c r="G27" s="6" t="s">
        <v>6</v>
      </c>
    </row>
    <row r="28" spans="2:7" x14ac:dyDescent="0.25">
      <c r="B28" s="1">
        <v>44826</v>
      </c>
      <c r="C28" s="7">
        <v>493</v>
      </c>
      <c r="D28">
        <v>25</v>
      </c>
      <c r="E28" s="9">
        <v>0.47152777777777777</v>
      </c>
      <c r="F28">
        <v>278</v>
      </c>
      <c r="G28" s="6" t="s">
        <v>6</v>
      </c>
    </row>
    <row r="29" spans="2:7" x14ac:dyDescent="0.25">
      <c r="B29" s="1">
        <v>44825</v>
      </c>
      <c r="C29" s="7">
        <v>558</v>
      </c>
      <c r="D29">
        <v>17</v>
      </c>
      <c r="E29" s="9">
        <v>9.2361111111111116E-2</v>
      </c>
      <c r="F29">
        <v>253</v>
      </c>
      <c r="G29" s="6" t="s">
        <v>6</v>
      </c>
    </row>
    <row r="30" spans="2:7" x14ac:dyDescent="0.25">
      <c r="B30" s="1">
        <v>44824</v>
      </c>
      <c r="C30" s="7">
        <v>674</v>
      </c>
      <c r="D30">
        <v>17</v>
      </c>
      <c r="E30" s="9">
        <v>0.4381944444444445</v>
      </c>
      <c r="F30">
        <v>267</v>
      </c>
      <c r="G30" s="6" t="s">
        <v>6</v>
      </c>
    </row>
    <row r="31" spans="2:7" x14ac:dyDescent="0.25">
      <c r="B31" s="1">
        <v>44823</v>
      </c>
      <c r="C31" s="7">
        <v>640</v>
      </c>
      <c r="D31">
        <v>25</v>
      </c>
      <c r="E31" s="9">
        <v>0.43472222222222223</v>
      </c>
      <c r="F31">
        <v>261</v>
      </c>
      <c r="G31" s="6" t="s">
        <v>6</v>
      </c>
    </row>
    <row r="32" spans="2:7" x14ac:dyDescent="0.25">
      <c r="B32" s="1">
        <v>44822</v>
      </c>
      <c r="C32" s="7">
        <v>647</v>
      </c>
      <c r="D32">
        <v>25</v>
      </c>
      <c r="E32" s="9">
        <v>0.59444444444444444</v>
      </c>
      <c r="F32">
        <v>212</v>
      </c>
      <c r="G32" s="6" t="s">
        <v>6</v>
      </c>
    </row>
    <row r="33" spans="2:7" x14ac:dyDescent="0.25">
      <c r="B33" s="1">
        <v>44821</v>
      </c>
      <c r="C33" s="7">
        <v>653</v>
      </c>
      <c r="D33">
        <v>21</v>
      </c>
      <c r="E33" s="9">
        <v>0.51041666666666663</v>
      </c>
      <c r="F33">
        <v>206</v>
      </c>
      <c r="G33" s="6" t="s">
        <v>6</v>
      </c>
    </row>
    <row r="34" spans="2:7" x14ac:dyDescent="0.25">
      <c r="B34" s="1">
        <v>44820</v>
      </c>
      <c r="C34" s="7">
        <v>525</v>
      </c>
      <c r="D34">
        <v>27</v>
      </c>
      <c r="E34" s="9">
        <v>0.59652777777777777</v>
      </c>
      <c r="F34">
        <v>274</v>
      </c>
      <c r="G34" s="6" t="s">
        <v>6</v>
      </c>
    </row>
    <row r="35" spans="2:7" x14ac:dyDescent="0.25">
      <c r="B35" s="1">
        <v>44819</v>
      </c>
      <c r="C35" s="7">
        <v>592</v>
      </c>
      <c r="D35">
        <v>20</v>
      </c>
      <c r="E35" s="9">
        <v>0.30416666666666664</v>
      </c>
      <c r="F35">
        <v>203</v>
      </c>
      <c r="G35" s="6" t="s">
        <v>6</v>
      </c>
    </row>
    <row r="36" spans="2:7" x14ac:dyDescent="0.25">
      <c r="B36" s="1">
        <v>44818</v>
      </c>
      <c r="C36" s="7">
        <v>503</v>
      </c>
      <c r="D36">
        <v>28</v>
      </c>
      <c r="E36" s="9">
        <v>0.50694444444444442</v>
      </c>
      <c r="F36">
        <v>206</v>
      </c>
      <c r="G36" s="6" t="s">
        <v>6</v>
      </c>
    </row>
    <row r="37" spans="2:7" x14ac:dyDescent="0.25">
      <c r="B37" s="1">
        <v>44817</v>
      </c>
      <c r="C37" s="7">
        <v>659</v>
      </c>
      <c r="D37">
        <v>27</v>
      </c>
      <c r="E37" s="9">
        <v>0.59583333333333333</v>
      </c>
      <c r="F37">
        <v>260</v>
      </c>
      <c r="G37" s="6" t="s">
        <v>6</v>
      </c>
    </row>
    <row r="38" spans="2:7" x14ac:dyDescent="0.25">
      <c r="B38" s="1">
        <v>44816</v>
      </c>
      <c r="C38" s="7">
        <v>690</v>
      </c>
      <c r="D38">
        <v>28</v>
      </c>
      <c r="E38" s="9">
        <v>0.60555555555555551</v>
      </c>
      <c r="F38">
        <v>268</v>
      </c>
      <c r="G38" s="6" t="s">
        <v>6</v>
      </c>
    </row>
    <row r="39" spans="2:7" x14ac:dyDescent="0.25">
      <c r="B39" s="1">
        <v>44815</v>
      </c>
      <c r="C39" s="7">
        <v>599</v>
      </c>
      <c r="D39">
        <v>16</v>
      </c>
      <c r="E39" s="9">
        <v>0.48194444444444445</v>
      </c>
      <c r="F39">
        <v>262</v>
      </c>
      <c r="G39" s="6" t="s">
        <v>6</v>
      </c>
    </row>
    <row r="40" spans="2:7" x14ac:dyDescent="0.25">
      <c r="B40" s="1">
        <v>44814</v>
      </c>
      <c r="C40" s="7">
        <v>558</v>
      </c>
      <c r="D40">
        <v>16</v>
      </c>
      <c r="E40" s="9">
        <v>0.58333333333333337</v>
      </c>
      <c r="F40">
        <v>242</v>
      </c>
      <c r="G40" s="6" t="s">
        <v>6</v>
      </c>
    </row>
    <row r="41" spans="2:7" x14ac:dyDescent="0.25">
      <c r="B41" s="1">
        <v>44813</v>
      </c>
      <c r="C41" s="7">
        <v>435</v>
      </c>
      <c r="D41">
        <v>25</v>
      </c>
      <c r="E41" s="9">
        <v>0.66736111111111107</v>
      </c>
      <c r="F41">
        <v>277</v>
      </c>
      <c r="G41" s="6" t="s">
        <v>6</v>
      </c>
    </row>
    <row r="42" spans="2:7" x14ac:dyDescent="0.25">
      <c r="B42" s="1">
        <v>44812</v>
      </c>
      <c r="C42" s="7">
        <v>653</v>
      </c>
      <c r="D42">
        <v>18</v>
      </c>
      <c r="E42" s="9">
        <v>0.45833333333333331</v>
      </c>
      <c r="F42">
        <v>220</v>
      </c>
      <c r="G42" s="6" t="s">
        <v>6</v>
      </c>
    </row>
    <row r="43" spans="2:7" x14ac:dyDescent="0.25">
      <c r="B43" s="1">
        <v>44811</v>
      </c>
      <c r="C43" s="7">
        <v>458</v>
      </c>
      <c r="D43">
        <v>26</v>
      </c>
      <c r="E43" s="9">
        <v>0.19375000000000001</v>
      </c>
      <c r="F43">
        <v>254</v>
      </c>
      <c r="G43" s="6" t="s">
        <v>6</v>
      </c>
    </row>
    <row r="44" spans="2:7" x14ac:dyDescent="0.25">
      <c r="B44" s="1">
        <v>44810</v>
      </c>
      <c r="C44" s="7">
        <v>524</v>
      </c>
      <c r="D44">
        <v>30</v>
      </c>
      <c r="E44" s="9">
        <v>0.49583333333333335</v>
      </c>
      <c r="F44">
        <v>286</v>
      </c>
      <c r="G44" s="6" t="s">
        <v>6</v>
      </c>
    </row>
    <row r="45" spans="2:7" x14ac:dyDescent="0.25">
      <c r="B45" s="1">
        <v>44809</v>
      </c>
      <c r="C45" s="7">
        <v>598</v>
      </c>
      <c r="D45">
        <v>26</v>
      </c>
      <c r="E45" s="9">
        <v>0.54791666666666672</v>
      </c>
      <c r="F45">
        <v>211</v>
      </c>
      <c r="G45" s="6" t="s">
        <v>6</v>
      </c>
    </row>
    <row r="46" spans="2:7" x14ac:dyDescent="0.25">
      <c r="B46" s="1">
        <v>44808</v>
      </c>
      <c r="C46" s="7">
        <v>431</v>
      </c>
      <c r="D46">
        <v>16</v>
      </c>
      <c r="E46" s="9">
        <v>0.47152777777777777</v>
      </c>
      <c r="F46">
        <v>204</v>
      </c>
      <c r="G46" s="6" t="s">
        <v>6</v>
      </c>
    </row>
    <row r="47" spans="2:7" x14ac:dyDescent="0.25">
      <c r="B47" s="1">
        <v>44807</v>
      </c>
      <c r="C47" s="7">
        <v>550</v>
      </c>
      <c r="D47">
        <v>26</v>
      </c>
      <c r="E47" s="9">
        <v>9.2361111111111116E-2</v>
      </c>
      <c r="F47">
        <v>231</v>
      </c>
      <c r="G47" s="6" t="s">
        <v>6</v>
      </c>
    </row>
    <row r="48" spans="2:7" x14ac:dyDescent="0.25">
      <c r="B48" s="1">
        <v>44806</v>
      </c>
      <c r="C48" s="7">
        <v>624</v>
      </c>
      <c r="D48">
        <v>28</v>
      </c>
      <c r="E48" s="9">
        <v>0.4381944444444445</v>
      </c>
      <c r="F48">
        <v>241</v>
      </c>
      <c r="G48" s="6" t="s">
        <v>6</v>
      </c>
    </row>
    <row r="49" spans="2:7" x14ac:dyDescent="0.25">
      <c r="B49" s="1">
        <v>44805</v>
      </c>
      <c r="C49" s="7">
        <v>661</v>
      </c>
      <c r="D49">
        <v>26</v>
      </c>
      <c r="E49" s="9">
        <v>0.43472222222222223</v>
      </c>
      <c r="F49">
        <v>236</v>
      </c>
      <c r="G49" s="6" t="s">
        <v>6</v>
      </c>
    </row>
    <row r="50" spans="2:7" x14ac:dyDescent="0.25">
      <c r="B50" s="1">
        <v>44834</v>
      </c>
      <c r="C50" s="7">
        <v>73</v>
      </c>
      <c r="D50">
        <v>3</v>
      </c>
      <c r="E50" s="9">
        <v>0.59444444444444444</v>
      </c>
      <c r="F50">
        <v>222</v>
      </c>
      <c r="G50" s="6">
        <v>99</v>
      </c>
    </row>
    <row r="51" spans="2:7" x14ac:dyDescent="0.25">
      <c r="B51" s="1">
        <v>44833</v>
      </c>
      <c r="C51" s="7">
        <v>80</v>
      </c>
      <c r="D51">
        <v>3</v>
      </c>
      <c r="E51" s="9">
        <v>0.51041666666666663</v>
      </c>
      <c r="F51">
        <v>292</v>
      </c>
      <c r="G51" s="6">
        <v>99</v>
      </c>
    </row>
    <row r="52" spans="2:7" x14ac:dyDescent="0.25">
      <c r="B52" s="1">
        <v>44832</v>
      </c>
      <c r="C52" s="7">
        <v>53</v>
      </c>
      <c r="D52">
        <v>1</v>
      </c>
      <c r="E52" s="9">
        <v>0.59652777777777777</v>
      </c>
      <c r="F52">
        <v>238</v>
      </c>
      <c r="G52" s="6">
        <v>99</v>
      </c>
    </row>
    <row r="53" spans="2:7" x14ac:dyDescent="0.25">
      <c r="B53" s="1">
        <v>44831</v>
      </c>
      <c r="C53" s="7">
        <v>51</v>
      </c>
      <c r="D53">
        <v>2</v>
      </c>
      <c r="E53" s="9">
        <v>0.30416666666666664</v>
      </c>
      <c r="F53">
        <v>220</v>
      </c>
      <c r="G53" s="6">
        <v>99</v>
      </c>
    </row>
    <row r="54" spans="2:7" x14ac:dyDescent="0.25">
      <c r="B54" s="1">
        <v>44830</v>
      </c>
      <c r="C54" s="7">
        <v>69</v>
      </c>
      <c r="D54">
        <v>3</v>
      </c>
      <c r="E54" s="9">
        <v>0.50694444444444442</v>
      </c>
      <c r="F54">
        <v>277</v>
      </c>
      <c r="G54" s="6">
        <v>99</v>
      </c>
    </row>
    <row r="55" spans="2:7" x14ac:dyDescent="0.25">
      <c r="B55" s="1">
        <v>44829</v>
      </c>
      <c r="C55" s="7">
        <v>54</v>
      </c>
      <c r="D55">
        <v>5</v>
      </c>
      <c r="E55" s="9">
        <v>0.59583333333333333</v>
      </c>
      <c r="F55">
        <v>221</v>
      </c>
      <c r="G55" s="6">
        <v>99</v>
      </c>
    </row>
    <row r="56" spans="2:7" x14ac:dyDescent="0.25">
      <c r="B56" s="1">
        <v>44828</v>
      </c>
      <c r="C56" s="7">
        <v>37</v>
      </c>
      <c r="D56">
        <v>4</v>
      </c>
      <c r="E56" s="9">
        <v>0.60555555555555551</v>
      </c>
      <c r="F56">
        <v>225</v>
      </c>
      <c r="G56" s="6">
        <v>99</v>
      </c>
    </row>
    <row r="57" spans="2:7" x14ac:dyDescent="0.25">
      <c r="B57" s="1">
        <v>44827</v>
      </c>
      <c r="C57" s="7">
        <v>91</v>
      </c>
      <c r="D57">
        <v>1</v>
      </c>
      <c r="E57" s="9">
        <v>0.48194444444444445</v>
      </c>
      <c r="F57">
        <v>273</v>
      </c>
      <c r="G57" s="6">
        <v>99</v>
      </c>
    </row>
    <row r="58" spans="2:7" x14ac:dyDescent="0.25">
      <c r="B58" s="1">
        <v>44826</v>
      </c>
      <c r="C58" s="7">
        <v>88</v>
      </c>
      <c r="D58">
        <v>3</v>
      </c>
      <c r="E58" s="9">
        <v>0.58333333333333337</v>
      </c>
      <c r="F58">
        <v>290</v>
      </c>
      <c r="G58" s="6">
        <v>99</v>
      </c>
    </row>
    <row r="59" spans="2:7" x14ac:dyDescent="0.25">
      <c r="B59" s="1">
        <v>44825</v>
      </c>
      <c r="C59" s="7">
        <v>90</v>
      </c>
      <c r="D59">
        <v>3</v>
      </c>
      <c r="E59" s="9">
        <v>0.66736111111111107</v>
      </c>
      <c r="F59">
        <v>290</v>
      </c>
      <c r="G59" s="6">
        <v>99</v>
      </c>
    </row>
    <row r="60" spans="2:7" x14ac:dyDescent="0.25">
      <c r="B60" s="1">
        <v>44824</v>
      </c>
      <c r="C60" s="7">
        <v>45</v>
      </c>
      <c r="D60">
        <v>1</v>
      </c>
      <c r="E60" s="9">
        <v>0.45833333333333331</v>
      </c>
      <c r="F60">
        <v>264</v>
      </c>
      <c r="G60" s="6">
        <v>99</v>
      </c>
    </row>
    <row r="61" spans="2:7" x14ac:dyDescent="0.25">
      <c r="B61" s="1">
        <v>44823</v>
      </c>
      <c r="C61" s="7">
        <v>36</v>
      </c>
      <c r="D61">
        <v>1</v>
      </c>
      <c r="E61" s="9">
        <v>0.19375000000000001</v>
      </c>
      <c r="F61">
        <v>236</v>
      </c>
      <c r="G61" s="6">
        <v>99</v>
      </c>
    </row>
    <row r="62" spans="2:7" x14ac:dyDescent="0.25">
      <c r="B62" s="1">
        <v>44822</v>
      </c>
      <c r="C62" s="7">
        <v>85</v>
      </c>
      <c r="D62">
        <v>1</v>
      </c>
      <c r="E62" s="9">
        <v>0.49583333333333335</v>
      </c>
      <c r="F62">
        <v>214</v>
      </c>
      <c r="G62" s="6">
        <v>99</v>
      </c>
    </row>
    <row r="63" spans="2:7" x14ac:dyDescent="0.25">
      <c r="B63" s="1">
        <v>44821</v>
      </c>
      <c r="C63" s="7">
        <v>63</v>
      </c>
      <c r="D63">
        <v>5</v>
      </c>
      <c r="E63" s="9">
        <v>0.54791666666666672</v>
      </c>
      <c r="F63">
        <v>286</v>
      </c>
      <c r="G63" s="6">
        <v>99</v>
      </c>
    </row>
    <row r="64" spans="2:7" x14ac:dyDescent="0.25">
      <c r="B64" s="1">
        <v>44820</v>
      </c>
      <c r="C64" s="7">
        <v>100</v>
      </c>
      <c r="D64">
        <v>1</v>
      </c>
      <c r="E64" s="9">
        <v>0.47152777777777777</v>
      </c>
      <c r="F64">
        <v>243</v>
      </c>
      <c r="G64" s="6">
        <v>99</v>
      </c>
    </row>
    <row r="65" spans="2:7" x14ac:dyDescent="0.25">
      <c r="B65" s="1">
        <v>44819</v>
      </c>
      <c r="C65" s="7">
        <v>87</v>
      </c>
      <c r="D65">
        <v>5</v>
      </c>
      <c r="E65" s="9">
        <v>9.2361111111111116E-2</v>
      </c>
      <c r="F65">
        <v>268</v>
      </c>
      <c r="G65" s="6">
        <v>99</v>
      </c>
    </row>
    <row r="66" spans="2:7" x14ac:dyDescent="0.25">
      <c r="B66" s="1">
        <v>44818</v>
      </c>
      <c r="C66" s="7">
        <v>58</v>
      </c>
      <c r="D66">
        <v>2</v>
      </c>
      <c r="E66" s="9">
        <v>0.4381944444444445</v>
      </c>
      <c r="F66">
        <v>253</v>
      </c>
      <c r="G66" s="6">
        <v>99</v>
      </c>
    </row>
    <row r="67" spans="2:7" x14ac:dyDescent="0.25">
      <c r="B67" s="1">
        <v>44817</v>
      </c>
      <c r="C67" s="7">
        <v>74</v>
      </c>
      <c r="D67">
        <v>4</v>
      </c>
      <c r="E67" s="9">
        <v>0.43472222222222223</v>
      </c>
      <c r="F67">
        <v>212</v>
      </c>
      <c r="G67" s="6">
        <v>99</v>
      </c>
    </row>
    <row r="68" spans="2:7" x14ac:dyDescent="0.25">
      <c r="B68" s="1">
        <v>44816</v>
      </c>
      <c r="C68" s="7">
        <v>26</v>
      </c>
      <c r="D68">
        <v>3</v>
      </c>
      <c r="E68" s="9">
        <v>0.59444444444444444</v>
      </c>
      <c r="F68">
        <v>240</v>
      </c>
      <c r="G68" s="6">
        <v>99</v>
      </c>
    </row>
    <row r="69" spans="2:7" x14ac:dyDescent="0.25">
      <c r="B69" s="1">
        <v>44815</v>
      </c>
      <c r="C69" s="7">
        <v>36</v>
      </c>
      <c r="D69">
        <v>5</v>
      </c>
      <c r="E69" s="9">
        <v>0.51041666666666663</v>
      </c>
      <c r="F69">
        <v>244</v>
      </c>
      <c r="G69" s="6">
        <v>99</v>
      </c>
    </row>
    <row r="70" spans="2:7" x14ac:dyDescent="0.25">
      <c r="B70" s="1">
        <v>44814</v>
      </c>
      <c r="C70" s="7">
        <v>60</v>
      </c>
      <c r="D70">
        <v>3</v>
      </c>
      <c r="E70" s="9">
        <v>0.59652777777777777</v>
      </c>
      <c r="F70">
        <v>235</v>
      </c>
      <c r="G70" s="6">
        <v>99</v>
      </c>
    </row>
    <row r="71" spans="2:7" x14ac:dyDescent="0.25">
      <c r="B71" s="1">
        <v>44813</v>
      </c>
      <c r="C71" s="7">
        <v>90</v>
      </c>
      <c r="D71">
        <v>3</v>
      </c>
      <c r="E71" s="9">
        <v>0.30416666666666664</v>
      </c>
      <c r="F71">
        <v>212</v>
      </c>
      <c r="G71" s="6">
        <v>99</v>
      </c>
    </row>
    <row r="72" spans="2:7" x14ac:dyDescent="0.25">
      <c r="B72" s="1">
        <v>44812</v>
      </c>
      <c r="C72" s="7">
        <v>63</v>
      </c>
      <c r="D72">
        <v>1</v>
      </c>
      <c r="E72" s="9">
        <v>0.50694444444444442</v>
      </c>
      <c r="F72">
        <v>202</v>
      </c>
      <c r="G72" s="6">
        <v>99</v>
      </c>
    </row>
    <row r="73" spans="2:7" x14ac:dyDescent="0.25">
      <c r="B73" s="1">
        <v>44811</v>
      </c>
      <c r="C73" s="7">
        <v>77</v>
      </c>
      <c r="D73">
        <v>3</v>
      </c>
      <c r="E73" s="9">
        <v>0.59583333333333333</v>
      </c>
      <c r="F73">
        <v>271</v>
      </c>
      <c r="G73" s="6">
        <v>99</v>
      </c>
    </row>
    <row r="74" spans="2:7" x14ac:dyDescent="0.25">
      <c r="B74" s="1">
        <v>44810</v>
      </c>
      <c r="C74" s="7">
        <v>80</v>
      </c>
      <c r="D74">
        <v>1</v>
      </c>
      <c r="E74" s="9">
        <v>0.60555555555555551</v>
      </c>
      <c r="F74">
        <v>251</v>
      </c>
      <c r="G74" s="6">
        <v>99</v>
      </c>
    </row>
    <row r="75" spans="2:7" x14ac:dyDescent="0.25">
      <c r="B75" s="1">
        <v>44809</v>
      </c>
      <c r="C75" s="7">
        <v>32</v>
      </c>
      <c r="D75">
        <v>1</v>
      </c>
      <c r="E75" s="9">
        <v>0.45833333333333331</v>
      </c>
      <c r="F75">
        <v>221</v>
      </c>
      <c r="G75" s="6">
        <v>99</v>
      </c>
    </row>
    <row r="76" spans="2:7" x14ac:dyDescent="0.25">
      <c r="B76" s="1">
        <v>44808</v>
      </c>
      <c r="C76" s="7">
        <v>87</v>
      </c>
      <c r="D76">
        <v>1</v>
      </c>
      <c r="E76" s="9">
        <v>0.19375000000000001</v>
      </c>
      <c r="F76">
        <v>268</v>
      </c>
      <c r="G76" s="6">
        <v>99</v>
      </c>
    </row>
    <row r="77" spans="2:7" x14ac:dyDescent="0.25">
      <c r="B77" s="1">
        <v>44807</v>
      </c>
      <c r="C77" s="7">
        <v>49</v>
      </c>
      <c r="D77">
        <v>2</v>
      </c>
      <c r="E77" s="9">
        <v>0.49583333333333335</v>
      </c>
      <c r="F77">
        <v>267</v>
      </c>
      <c r="G77" s="6">
        <v>99</v>
      </c>
    </row>
    <row r="78" spans="2:7" x14ac:dyDescent="0.25">
      <c r="B78" s="1">
        <v>44806</v>
      </c>
      <c r="C78" s="7">
        <v>59</v>
      </c>
      <c r="D78">
        <v>1</v>
      </c>
      <c r="E78" s="9">
        <v>0.54791666666666672</v>
      </c>
      <c r="F78">
        <v>206</v>
      </c>
      <c r="G78" s="6">
        <v>99</v>
      </c>
    </row>
    <row r="79" spans="2:7" x14ac:dyDescent="0.25">
      <c r="B79" s="1">
        <v>44805</v>
      </c>
      <c r="C79" s="7">
        <v>94</v>
      </c>
      <c r="D79">
        <v>3</v>
      </c>
      <c r="E79" s="9">
        <v>0.43472222222222223</v>
      </c>
      <c r="F79">
        <v>213</v>
      </c>
      <c r="G79" s="6">
        <v>99</v>
      </c>
    </row>
    <row r="80" spans="2:7" x14ac:dyDescent="0.25">
      <c r="B80" s="1">
        <v>44804</v>
      </c>
      <c r="C80" s="7">
        <v>453.31</v>
      </c>
      <c r="D80">
        <v>15</v>
      </c>
      <c r="E80" s="9">
        <v>0.60555555555555551</v>
      </c>
      <c r="F80">
        <v>210</v>
      </c>
      <c r="G80" s="6" t="s">
        <v>6</v>
      </c>
    </row>
    <row r="81" spans="2:7" x14ac:dyDescent="0.25">
      <c r="B81" s="1">
        <v>44803</v>
      </c>
      <c r="C81" s="7">
        <v>648</v>
      </c>
      <c r="D81">
        <v>28</v>
      </c>
      <c r="E81" s="9">
        <v>0.48194444444444445</v>
      </c>
      <c r="F81">
        <v>288</v>
      </c>
      <c r="G81" s="6" t="s">
        <v>6</v>
      </c>
    </row>
    <row r="82" spans="2:7" x14ac:dyDescent="0.25">
      <c r="B82" s="1">
        <v>44802</v>
      </c>
      <c r="C82" s="7">
        <v>659</v>
      </c>
      <c r="D82">
        <v>15</v>
      </c>
      <c r="E82" s="9">
        <v>0.58333333333333337</v>
      </c>
      <c r="F82">
        <v>265</v>
      </c>
      <c r="G82" s="6" t="s">
        <v>6</v>
      </c>
    </row>
    <row r="83" spans="2:7" x14ac:dyDescent="0.25">
      <c r="B83" s="1">
        <v>44801</v>
      </c>
      <c r="C83" s="7">
        <v>668</v>
      </c>
      <c r="D83">
        <v>15</v>
      </c>
      <c r="E83" s="9">
        <v>0.66736111111111107</v>
      </c>
      <c r="F83">
        <v>223</v>
      </c>
      <c r="G83" s="6" t="s">
        <v>6</v>
      </c>
    </row>
    <row r="84" spans="2:7" x14ac:dyDescent="0.25">
      <c r="B84" s="1">
        <v>44800</v>
      </c>
      <c r="C84" s="7">
        <v>660</v>
      </c>
      <c r="D84">
        <v>25</v>
      </c>
      <c r="E84" s="9">
        <v>0.45833333333333331</v>
      </c>
      <c r="F84">
        <v>213</v>
      </c>
      <c r="G84" s="6" t="s">
        <v>6</v>
      </c>
    </row>
    <row r="85" spans="2:7" x14ac:dyDescent="0.25">
      <c r="B85" s="1">
        <v>44799</v>
      </c>
      <c r="C85" s="7">
        <v>509</v>
      </c>
      <c r="D85">
        <v>22</v>
      </c>
      <c r="E85" s="9">
        <v>0.19375000000000001</v>
      </c>
      <c r="F85">
        <v>235</v>
      </c>
      <c r="G85" s="6" t="s">
        <v>6</v>
      </c>
    </row>
    <row r="86" spans="2:7" x14ac:dyDescent="0.25">
      <c r="B86" s="1">
        <v>44798</v>
      </c>
      <c r="C86" s="7">
        <v>568</v>
      </c>
      <c r="D86">
        <v>26</v>
      </c>
      <c r="E86" s="9">
        <v>0.49583333333333335</v>
      </c>
      <c r="F86">
        <v>212</v>
      </c>
      <c r="G86" s="6" t="s">
        <v>6</v>
      </c>
    </row>
    <row r="87" spans="2:7" x14ac:dyDescent="0.25">
      <c r="B87" s="1">
        <v>44797</v>
      </c>
      <c r="C87" s="7">
        <v>694</v>
      </c>
      <c r="D87">
        <v>26</v>
      </c>
      <c r="E87" s="9">
        <v>0.54791666666666672</v>
      </c>
      <c r="F87">
        <v>298</v>
      </c>
      <c r="G87" s="6" t="s">
        <v>6</v>
      </c>
    </row>
    <row r="88" spans="2:7" x14ac:dyDescent="0.25">
      <c r="B88" s="1">
        <v>44796</v>
      </c>
      <c r="C88" s="7">
        <v>488</v>
      </c>
      <c r="D88">
        <v>26</v>
      </c>
      <c r="E88" s="9">
        <v>0.47152777777777777</v>
      </c>
      <c r="F88">
        <v>266</v>
      </c>
      <c r="G88" s="6" t="s">
        <v>6</v>
      </c>
    </row>
    <row r="89" spans="2:7" x14ac:dyDescent="0.25">
      <c r="B89" s="1">
        <v>44795</v>
      </c>
      <c r="C89" s="7">
        <v>443</v>
      </c>
      <c r="D89">
        <v>29</v>
      </c>
      <c r="E89" s="9">
        <v>9.2361111111111116E-2</v>
      </c>
      <c r="F89">
        <v>223</v>
      </c>
      <c r="G89" s="6" t="s">
        <v>6</v>
      </c>
    </row>
    <row r="90" spans="2:7" x14ac:dyDescent="0.25">
      <c r="B90" s="1">
        <v>44794</v>
      </c>
      <c r="C90" s="7">
        <v>460</v>
      </c>
      <c r="D90">
        <v>20</v>
      </c>
      <c r="E90" s="9">
        <v>0.4381944444444445</v>
      </c>
      <c r="F90">
        <v>284</v>
      </c>
      <c r="G90" s="6" t="s">
        <v>6</v>
      </c>
    </row>
    <row r="91" spans="2:7" x14ac:dyDescent="0.25">
      <c r="B91" s="1">
        <v>44793</v>
      </c>
      <c r="C91" s="7">
        <v>438</v>
      </c>
      <c r="D91">
        <v>19</v>
      </c>
      <c r="E91" s="9">
        <v>0.43472222222222223</v>
      </c>
      <c r="F91">
        <v>241</v>
      </c>
      <c r="G91" s="6" t="s">
        <v>6</v>
      </c>
    </row>
    <row r="92" spans="2:7" x14ac:dyDescent="0.25">
      <c r="B92" s="1">
        <v>44792</v>
      </c>
      <c r="C92" s="7">
        <v>644</v>
      </c>
      <c r="D92">
        <v>18</v>
      </c>
      <c r="E92" s="9">
        <v>0.59444444444444444</v>
      </c>
      <c r="F92">
        <v>202</v>
      </c>
      <c r="G92" s="6" t="s">
        <v>6</v>
      </c>
    </row>
    <row r="93" spans="2:7" x14ac:dyDescent="0.25">
      <c r="B93" s="1">
        <v>44791</v>
      </c>
      <c r="C93" s="7">
        <v>682</v>
      </c>
      <c r="D93">
        <v>29</v>
      </c>
      <c r="E93" s="9">
        <v>0.51041666666666663</v>
      </c>
      <c r="F93">
        <v>255</v>
      </c>
      <c r="G93" s="6" t="s">
        <v>6</v>
      </c>
    </row>
    <row r="94" spans="2:7" x14ac:dyDescent="0.25">
      <c r="B94" s="1">
        <v>44790</v>
      </c>
      <c r="C94" s="7">
        <v>448</v>
      </c>
      <c r="D94">
        <v>19</v>
      </c>
      <c r="E94" s="9">
        <v>0.59652777777777777</v>
      </c>
      <c r="F94">
        <v>300</v>
      </c>
      <c r="G94" s="6" t="s">
        <v>6</v>
      </c>
    </row>
    <row r="95" spans="2:7" x14ac:dyDescent="0.25">
      <c r="B95" s="1">
        <v>44789</v>
      </c>
      <c r="C95" s="7">
        <v>690</v>
      </c>
      <c r="D95">
        <v>27</v>
      </c>
      <c r="E95" s="9">
        <v>0.30416666666666664</v>
      </c>
      <c r="F95">
        <v>258</v>
      </c>
      <c r="G95" s="6" t="s">
        <v>6</v>
      </c>
    </row>
    <row r="96" spans="2:7" x14ac:dyDescent="0.25">
      <c r="B96" s="1">
        <v>44788</v>
      </c>
      <c r="C96" s="7">
        <v>646</v>
      </c>
      <c r="D96">
        <v>19</v>
      </c>
      <c r="E96" s="9">
        <v>0.50694444444444442</v>
      </c>
      <c r="F96">
        <v>265</v>
      </c>
      <c r="G96" s="6" t="s">
        <v>6</v>
      </c>
    </row>
    <row r="97" spans="2:7" x14ac:dyDescent="0.25">
      <c r="B97" s="1">
        <v>44787</v>
      </c>
      <c r="C97" s="7">
        <v>526</v>
      </c>
      <c r="D97">
        <v>17</v>
      </c>
      <c r="E97" s="9">
        <v>0.59583333333333333</v>
      </c>
      <c r="F97">
        <v>216</v>
      </c>
      <c r="G97" s="6" t="s">
        <v>6</v>
      </c>
    </row>
    <row r="98" spans="2:7" x14ac:dyDescent="0.25">
      <c r="B98" s="1">
        <v>44786</v>
      </c>
      <c r="C98" s="7">
        <v>443</v>
      </c>
      <c r="D98">
        <v>26</v>
      </c>
      <c r="E98" s="9">
        <v>0.60555555555555551</v>
      </c>
      <c r="F98">
        <v>299</v>
      </c>
      <c r="G98" s="6" t="s">
        <v>6</v>
      </c>
    </row>
    <row r="99" spans="2:7" x14ac:dyDescent="0.25">
      <c r="B99" s="1">
        <v>44785</v>
      </c>
      <c r="C99" s="7">
        <v>570</v>
      </c>
      <c r="D99">
        <v>16</v>
      </c>
      <c r="E99" s="9">
        <v>0.48194444444444445</v>
      </c>
      <c r="F99">
        <v>268</v>
      </c>
      <c r="G99" s="6" t="s">
        <v>6</v>
      </c>
    </row>
    <row r="100" spans="2:7" x14ac:dyDescent="0.25">
      <c r="B100" s="1">
        <v>44784</v>
      </c>
      <c r="C100" s="7">
        <v>577</v>
      </c>
      <c r="D100">
        <v>15</v>
      </c>
      <c r="E100" s="9">
        <v>0.58333333333333337</v>
      </c>
      <c r="F100">
        <v>300</v>
      </c>
      <c r="G100" s="6" t="s">
        <v>6</v>
      </c>
    </row>
    <row r="101" spans="2:7" x14ac:dyDescent="0.25">
      <c r="B101" s="1">
        <v>44783</v>
      </c>
      <c r="C101" s="7">
        <v>429</v>
      </c>
      <c r="D101">
        <v>17</v>
      </c>
      <c r="E101" s="9">
        <v>0.66736111111111107</v>
      </c>
      <c r="F101">
        <v>248</v>
      </c>
      <c r="G101" s="6" t="s">
        <v>6</v>
      </c>
    </row>
    <row r="102" spans="2:7" x14ac:dyDescent="0.25">
      <c r="B102" s="1">
        <v>44782</v>
      </c>
      <c r="C102" s="7">
        <v>571</v>
      </c>
      <c r="D102">
        <v>16</v>
      </c>
      <c r="E102" s="9">
        <v>0.45833333333333331</v>
      </c>
      <c r="F102">
        <v>256</v>
      </c>
      <c r="G102" s="6" t="s">
        <v>6</v>
      </c>
    </row>
    <row r="103" spans="2:7" x14ac:dyDescent="0.25">
      <c r="B103" s="1">
        <v>44781</v>
      </c>
      <c r="C103" s="7">
        <v>432</v>
      </c>
      <c r="D103">
        <v>29</v>
      </c>
      <c r="E103" s="9">
        <v>0.19375000000000001</v>
      </c>
      <c r="F103">
        <v>267</v>
      </c>
      <c r="G103" s="6" t="s">
        <v>6</v>
      </c>
    </row>
    <row r="104" spans="2:7" x14ac:dyDescent="0.25">
      <c r="B104" s="1">
        <v>44780</v>
      </c>
      <c r="C104" s="7">
        <v>685</v>
      </c>
      <c r="D104">
        <v>22</v>
      </c>
      <c r="E104" s="9">
        <v>0.49583333333333335</v>
      </c>
      <c r="F104">
        <v>263</v>
      </c>
      <c r="G104" s="6" t="s">
        <v>6</v>
      </c>
    </row>
    <row r="105" spans="2:7" x14ac:dyDescent="0.25">
      <c r="B105" s="1">
        <v>44779</v>
      </c>
      <c r="C105" s="7">
        <v>681</v>
      </c>
      <c r="D105">
        <v>24</v>
      </c>
      <c r="E105" s="9">
        <v>0.54791666666666672</v>
      </c>
      <c r="F105">
        <v>200</v>
      </c>
      <c r="G105" s="6" t="s">
        <v>6</v>
      </c>
    </row>
    <row r="106" spans="2:7" x14ac:dyDescent="0.25">
      <c r="B106" s="1">
        <v>44778</v>
      </c>
      <c r="C106" s="7">
        <v>564</v>
      </c>
      <c r="D106">
        <v>26</v>
      </c>
      <c r="E106" s="9">
        <v>0.47152777777777777</v>
      </c>
      <c r="F106">
        <v>232</v>
      </c>
      <c r="G106" s="6" t="s">
        <v>6</v>
      </c>
    </row>
    <row r="107" spans="2:7" x14ac:dyDescent="0.25">
      <c r="B107" s="1">
        <v>44777</v>
      </c>
      <c r="C107" s="7">
        <v>607</v>
      </c>
      <c r="D107">
        <v>18</v>
      </c>
      <c r="E107" s="9">
        <v>9.2361111111111116E-2</v>
      </c>
      <c r="F107">
        <v>216</v>
      </c>
      <c r="G107" s="6" t="s">
        <v>6</v>
      </c>
    </row>
    <row r="108" spans="2:7" x14ac:dyDescent="0.25">
      <c r="B108" s="1">
        <v>44776</v>
      </c>
      <c r="C108" s="7">
        <v>669</v>
      </c>
      <c r="D108">
        <v>25</v>
      </c>
      <c r="E108" s="9">
        <v>0.4381944444444445</v>
      </c>
      <c r="F108">
        <v>207</v>
      </c>
      <c r="G108" s="6" t="s">
        <v>6</v>
      </c>
    </row>
    <row r="109" spans="2:7" x14ac:dyDescent="0.25">
      <c r="B109" s="1">
        <v>44775</v>
      </c>
      <c r="C109" s="7">
        <v>621</v>
      </c>
      <c r="D109">
        <v>15</v>
      </c>
      <c r="E109" s="9">
        <v>0.43472222222222223</v>
      </c>
      <c r="F109">
        <v>226</v>
      </c>
      <c r="G109" s="6" t="s">
        <v>6</v>
      </c>
    </row>
    <row r="110" spans="2:7" x14ac:dyDescent="0.25">
      <c r="B110" s="1">
        <v>44774</v>
      </c>
      <c r="C110" s="7">
        <v>453.31</v>
      </c>
      <c r="D110">
        <v>15</v>
      </c>
      <c r="E110" s="9">
        <v>0.60555555555555551</v>
      </c>
      <c r="F110">
        <v>286</v>
      </c>
      <c r="G110" s="6" t="s">
        <v>6</v>
      </c>
    </row>
    <row r="111" spans="2:7" x14ac:dyDescent="0.25">
      <c r="B111" s="1">
        <v>44804</v>
      </c>
      <c r="C111" s="7">
        <v>32</v>
      </c>
      <c r="D111">
        <v>3</v>
      </c>
      <c r="E111" s="9">
        <v>0.59444444444444444</v>
      </c>
      <c r="F111">
        <v>262</v>
      </c>
      <c r="G111" s="6">
        <v>99</v>
      </c>
    </row>
    <row r="112" spans="2:7" x14ac:dyDescent="0.25">
      <c r="B112" s="1">
        <v>44803</v>
      </c>
      <c r="C112" s="7">
        <v>54</v>
      </c>
      <c r="D112">
        <v>1</v>
      </c>
      <c r="E112" s="9">
        <v>0.51041666666666663</v>
      </c>
      <c r="F112">
        <v>200</v>
      </c>
      <c r="G112" s="6">
        <v>99</v>
      </c>
    </row>
    <row r="113" spans="2:7" x14ac:dyDescent="0.25">
      <c r="B113" s="1">
        <v>44802</v>
      </c>
      <c r="C113" s="7">
        <v>35</v>
      </c>
      <c r="D113">
        <v>3</v>
      </c>
      <c r="E113" s="9">
        <v>0.59652777777777777</v>
      </c>
      <c r="F113">
        <v>295</v>
      </c>
      <c r="G113" s="6">
        <v>99</v>
      </c>
    </row>
    <row r="114" spans="2:7" x14ac:dyDescent="0.25">
      <c r="B114" s="1">
        <v>44801</v>
      </c>
      <c r="C114" s="7">
        <v>62</v>
      </c>
      <c r="D114">
        <v>2</v>
      </c>
      <c r="E114" s="9">
        <v>0.30416666666666664</v>
      </c>
      <c r="F114">
        <v>261</v>
      </c>
      <c r="G114" s="6">
        <v>99</v>
      </c>
    </row>
    <row r="115" spans="2:7" x14ac:dyDescent="0.25">
      <c r="B115" s="1">
        <v>44800</v>
      </c>
      <c r="C115" s="7">
        <v>58</v>
      </c>
      <c r="D115">
        <v>3</v>
      </c>
      <c r="E115" s="9">
        <v>0.50694444444444442</v>
      </c>
      <c r="F115">
        <v>269</v>
      </c>
      <c r="G115" s="6">
        <v>99</v>
      </c>
    </row>
    <row r="116" spans="2:7" x14ac:dyDescent="0.25">
      <c r="B116" s="1">
        <v>44799</v>
      </c>
      <c r="C116" s="7">
        <v>99</v>
      </c>
      <c r="D116">
        <v>3</v>
      </c>
      <c r="E116" s="9">
        <v>0.59583333333333333</v>
      </c>
      <c r="F116">
        <v>261</v>
      </c>
      <c r="G116" s="6">
        <v>99</v>
      </c>
    </row>
    <row r="117" spans="2:7" x14ac:dyDescent="0.25">
      <c r="B117" s="1">
        <v>44798</v>
      </c>
      <c r="C117" s="7">
        <v>28</v>
      </c>
      <c r="D117">
        <v>4</v>
      </c>
      <c r="E117" s="9">
        <v>0.60555555555555551</v>
      </c>
      <c r="F117">
        <v>284</v>
      </c>
      <c r="G117" s="6">
        <v>99</v>
      </c>
    </row>
    <row r="118" spans="2:7" x14ac:dyDescent="0.25">
      <c r="B118" s="1">
        <v>44797</v>
      </c>
      <c r="C118" s="7">
        <v>58</v>
      </c>
      <c r="D118">
        <v>2</v>
      </c>
      <c r="E118" s="9">
        <v>0.48194444444444445</v>
      </c>
      <c r="F118">
        <v>263</v>
      </c>
      <c r="G118" s="6">
        <v>99</v>
      </c>
    </row>
    <row r="119" spans="2:7" x14ac:dyDescent="0.25">
      <c r="B119" s="1">
        <v>44796</v>
      </c>
      <c r="C119" s="7">
        <v>55</v>
      </c>
      <c r="D119">
        <v>5</v>
      </c>
      <c r="E119" s="9">
        <v>0.58333333333333337</v>
      </c>
      <c r="F119">
        <v>244</v>
      </c>
      <c r="G119" s="6">
        <v>99</v>
      </c>
    </row>
    <row r="120" spans="2:7" x14ac:dyDescent="0.25">
      <c r="B120" s="1">
        <v>44795</v>
      </c>
      <c r="C120" s="7">
        <v>88</v>
      </c>
      <c r="D120">
        <v>3</v>
      </c>
      <c r="E120" s="9">
        <v>0.66736111111111107</v>
      </c>
      <c r="F120">
        <v>267</v>
      </c>
      <c r="G120" s="6">
        <v>99</v>
      </c>
    </row>
    <row r="121" spans="2:7" x14ac:dyDescent="0.25">
      <c r="B121" s="1">
        <v>44794</v>
      </c>
      <c r="C121" s="7">
        <v>82</v>
      </c>
      <c r="D121">
        <v>3</v>
      </c>
      <c r="E121" s="9">
        <v>0.45833333333333331</v>
      </c>
      <c r="F121">
        <v>261</v>
      </c>
      <c r="G121" s="6">
        <v>99</v>
      </c>
    </row>
    <row r="122" spans="2:7" x14ac:dyDescent="0.25">
      <c r="B122" s="1">
        <v>44793</v>
      </c>
      <c r="C122" s="7">
        <v>89</v>
      </c>
      <c r="D122">
        <v>3</v>
      </c>
      <c r="E122" s="9">
        <v>0.19375000000000001</v>
      </c>
      <c r="F122">
        <v>234</v>
      </c>
      <c r="G122" s="6">
        <v>99</v>
      </c>
    </row>
    <row r="123" spans="2:7" x14ac:dyDescent="0.25">
      <c r="B123" s="1">
        <v>44792</v>
      </c>
      <c r="C123" s="7">
        <v>53</v>
      </c>
      <c r="D123">
        <v>1</v>
      </c>
      <c r="E123" s="9">
        <v>0.49583333333333335</v>
      </c>
      <c r="F123">
        <v>245</v>
      </c>
      <c r="G123" s="6">
        <v>99</v>
      </c>
    </row>
    <row r="124" spans="2:7" x14ac:dyDescent="0.25">
      <c r="B124" s="1">
        <v>44791</v>
      </c>
      <c r="C124" s="7">
        <v>50</v>
      </c>
      <c r="D124">
        <v>4</v>
      </c>
      <c r="E124" s="9">
        <v>0.54791666666666672</v>
      </c>
      <c r="F124">
        <v>229</v>
      </c>
      <c r="G124" s="6">
        <v>99</v>
      </c>
    </row>
    <row r="125" spans="2:7" x14ac:dyDescent="0.25">
      <c r="B125" s="1">
        <v>44790</v>
      </c>
      <c r="C125" s="7">
        <v>91</v>
      </c>
      <c r="D125">
        <v>3</v>
      </c>
      <c r="E125" s="9">
        <v>0.47152777777777777</v>
      </c>
      <c r="F125">
        <v>217</v>
      </c>
      <c r="G125" s="6">
        <v>99</v>
      </c>
    </row>
    <row r="126" spans="2:7" x14ac:dyDescent="0.25">
      <c r="B126" s="1">
        <v>44789</v>
      </c>
      <c r="C126" s="7">
        <v>100</v>
      </c>
      <c r="D126">
        <v>2</v>
      </c>
      <c r="E126" s="9">
        <v>9.2361111111111116E-2</v>
      </c>
      <c r="F126">
        <v>263</v>
      </c>
      <c r="G126" s="6">
        <v>99</v>
      </c>
    </row>
    <row r="127" spans="2:7" x14ac:dyDescent="0.25">
      <c r="B127" s="1">
        <v>44788</v>
      </c>
      <c r="C127" s="7">
        <v>83</v>
      </c>
      <c r="D127">
        <v>3</v>
      </c>
      <c r="E127" s="9">
        <v>0.4381944444444445</v>
      </c>
      <c r="F127">
        <v>298</v>
      </c>
      <c r="G127" s="6">
        <v>99</v>
      </c>
    </row>
    <row r="128" spans="2:7" x14ac:dyDescent="0.25">
      <c r="B128" s="1">
        <v>44787</v>
      </c>
      <c r="C128" s="7">
        <v>80</v>
      </c>
      <c r="D128">
        <v>2</v>
      </c>
      <c r="E128" s="9">
        <v>0.43472222222222223</v>
      </c>
      <c r="F128">
        <v>277</v>
      </c>
      <c r="G128" s="6">
        <v>99</v>
      </c>
    </row>
    <row r="129" spans="2:7" x14ac:dyDescent="0.25">
      <c r="B129" s="1">
        <v>44786</v>
      </c>
      <c r="C129" s="7">
        <v>58</v>
      </c>
      <c r="D129">
        <v>5</v>
      </c>
      <c r="E129" s="9">
        <v>0.59444444444444444</v>
      </c>
      <c r="F129">
        <v>262</v>
      </c>
      <c r="G129" s="6">
        <v>99</v>
      </c>
    </row>
    <row r="130" spans="2:7" x14ac:dyDescent="0.25">
      <c r="B130" s="1">
        <v>44785</v>
      </c>
      <c r="C130" s="7">
        <v>27</v>
      </c>
      <c r="D130">
        <v>2</v>
      </c>
      <c r="E130" s="9">
        <v>0.51041666666666663</v>
      </c>
      <c r="F130">
        <v>261</v>
      </c>
      <c r="G130" s="6">
        <v>99</v>
      </c>
    </row>
    <row r="131" spans="2:7" x14ac:dyDescent="0.25">
      <c r="B131" s="1">
        <v>44784</v>
      </c>
      <c r="C131" s="7">
        <v>27</v>
      </c>
      <c r="D131">
        <v>3</v>
      </c>
      <c r="E131" s="9">
        <v>0.59652777777777777</v>
      </c>
      <c r="F131">
        <v>290</v>
      </c>
      <c r="G131" s="6">
        <v>99</v>
      </c>
    </row>
    <row r="132" spans="2:7" x14ac:dyDescent="0.25">
      <c r="B132" s="1">
        <v>44783</v>
      </c>
      <c r="C132" s="7">
        <v>27</v>
      </c>
      <c r="D132">
        <v>3</v>
      </c>
      <c r="E132" s="9">
        <v>0.30416666666666664</v>
      </c>
      <c r="F132">
        <v>293</v>
      </c>
      <c r="G132" s="6">
        <v>99</v>
      </c>
    </row>
    <row r="133" spans="2:7" x14ac:dyDescent="0.25">
      <c r="B133" s="1">
        <v>44782</v>
      </c>
      <c r="C133" s="7">
        <v>38</v>
      </c>
      <c r="D133">
        <v>3</v>
      </c>
      <c r="E133" s="9">
        <v>0.50694444444444442</v>
      </c>
      <c r="F133">
        <v>282</v>
      </c>
      <c r="G133" s="6">
        <v>99</v>
      </c>
    </row>
    <row r="134" spans="2:7" x14ac:dyDescent="0.25">
      <c r="B134" s="1">
        <v>44781</v>
      </c>
      <c r="C134" s="7">
        <v>90</v>
      </c>
      <c r="D134">
        <v>2</v>
      </c>
      <c r="E134" s="9">
        <v>0.59583333333333333</v>
      </c>
      <c r="F134">
        <v>225</v>
      </c>
      <c r="G134" s="6">
        <v>99</v>
      </c>
    </row>
    <row r="135" spans="2:7" x14ac:dyDescent="0.25">
      <c r="B135" s="1">
        <v>44780</v>
      </c>
      <c r="C135" s="7">
        <v>91</v>
      </c>
      <c r="D135">
        <v>4</v>
      </c>
      <c r="E135" s="9">
        <v>0.60555555555555551</v>
      </c>
      <c r="F135">
        <v>226</v>
      </c>
      <c r="G135" s="6">
        <v>99</v>
      </c>
    </row>
    <row r="136" spans="2:7" x14ac:dyDescent="0.25">
      <c r="B136" s="1">
        <v>44779</v>
      </c>
      <c r="C136" s="7">
        <v>94</v>
      </c>
      <c r="D136">
        <v>1</v>
      </c>
      <c r="E136" s="9">
        <v>0.45833333333333331</v>
      </c>
      <c r="F136">
        <v>287</v>
      </c>
      <c r="G136" s="6">
        <v>99</v>
      </c>
    </row>
    <row r="137" spans="2:7" x14ac:dyDescent="0.25">
      <c r="B137" s="1">
        <v>44778</v>
      </c>
      <c r="C137" s="7">
        <v>42</v>
      </c>
      <c r="D137">
        <v>2</v>
      </c>
      <c r="E137" s="9">
        <v>0.19375000000000001</v>
      </c>
      <c r="F137">
        <v>265</v>
      </c>
      <c r="G137" s="6">
        <v>99</v>
      </c>
    </row>
    <row r="138" spans="2:7" x14ac:dyDescent="0.25">
      <c r="B138" s="1">
        <v>44777</v>
      </c>
      <c r="C138" s="7">
        <v>92</v>
      </c>
      <c r="D138">
        <v>3</v>
      </c>
      <c r="E138" s="9">
        <v>0.49583333333333335</v>
      </c>
      <c r="F138">
        <v>216</v>
      </c>
      <c r="G138" s="6">
        <v>99</v>
      </c>
    </row>
    <row r="139" spans="2:7" x14ac:dyDescent="0.25">
      <c r="B139" s="1">
        <v>44776</v>
      </c>
      <c r="C139" s="7">
        <v>67</v>
      </c>
      <c r="D139">
        <v>2</v>
      </c>
      <c r="E139" s="9">
        <v>0.54791666666666672</v>
      </c>
      <c r="F139">
        <v>250</v>
      </c>
      <c r="G139" s="6">
        <v>99</v>
      </c>
    </row>
    <row r="140" spans="2:7" x14ac:dyDescent="0.25">
      <c r="B140" s="1">
        <v>44775</v>
      </c>
      <c r="C140" s="7">
        <v>62</v>
      </c>
      <c r="D140">
        <v>5</v>
      </c>
      <c r="E140" s="9">
        <v>0.43472222222222223</v>
      </c>
      <c r="F140">
        <v>204</v>
      </c>
      <c r="G140" s="6">
        <v>99</v>
      </c>
    </row>
    <row r="141" spans="2:7" x14ac:dyDescent="0.25">
      <c r="B141" s="1">
        <v>44774</v>
      </c>
      <c r="C141" s="7">
        <v>27</v>
      </c>
      <c r="D141">
        <v>2</v>
      </c>
      <c r="E141" s="9">
        <v>0.59444444444444444</v>
      </c>
      <c r="F141">
        <v>201</v>
      </c>
      <c r="G141" s="6">
        <v>99</v>
      </c>
    </row>
    <row r="142" spans="2:7" x14ac:dyDescent="0.25">
      <c r="B142" s="1">
        <v>45050</v>
      </c>
      <c r="C142" s="7">
        <v>276.67</v>
      </c>
      <c r="D142">
        <v>12</v>
      </c>
      <c r="E142" s="9">
        <v>0.54166666666666663</v>
      </c>
      <c r="F142">
        <v>217</v>
      </c>
      <c r="G142" s="6" t="s">
        <v>6</v>
      </c>
    </row>
    <row r="143" spans="2:7" x14ac:dyDescent="0.25">
      <c r="B143" s="1">
        <v>45050</v>
      </c>
      <c r="C143" s="7">
        <v>109.45</v>
      </c>
      <c r="D143">
        <v>3</v>
      </c>
      <c r="E143" s="9">
        <v>0</v>
      </c>
      <c r="F143">
        <v>0</v>
      </c>
      <c r="G143" s="6">
        <v>99</v>
      </c>
    </row>
    <row r="144" spans="2:7" x14ac:dyDescent="0.25">
      <c r="B144" s="1">
        <v>45050</v>
      </c>
      <c r="C144" s="7">
        <v>3.52</v>
      </c>
      <c r="D144">
        <v>0</v>
      </c>
      <c r="E144" s="9">
        <v>0</v>
      </c>
      <c r="F144">
        <v>0</v>
      </c>
      <c r="G144" s="6" t="s">
        <v>7</v>
      </c>
    </row>
    <row r="145" spans="2:7" x14ac:dyDescent="0.25">
      <c r="B145" s="1">
        <v>45051</v>
      </c>
      <c r="C145" s="7">
        <v>329.36</v>
      </c>
      <c r="D145">
        <v>12</v>
      </c>
      <c r="E145" s="9">
        <v>0.5</v>
      </c>
      <c r="F145">
        <v>213</v>
      </c>
      <c r="G145" s="6" t="s">
        <v>6</v>
      </c>
    </row>
    <row r="146" spans="2:7" x14ac:dyDescent="0.25">
      <c r="B146" s="1">
        <v>45051</v>
      </c>
      <c r="C146" s="7">
        <v>109.03</v>
      </c>
      <c r="D146">
        <v>4</v>
      </c>
      <c r="E146" s="9">
        <v>8.3333333333333329E-2</v>
      </c>
      <c r="F146">
        <v>0</v>
      </c>
      <c r="G146" s="6">
        <v>99</v>
      </c>
    </row>
    <row r="147" spans="2:7" x14ac:dyDescent="0.25">
      <c r="B147" s="1">
        <v>45052</v>
      </c>
      <c r="C147" s="7">
        <v>400.31</v>
      </c>
      <c r="D147">
        <v>13</v>
      </c>
      <c r="E147" s="9">
        <v>0.41666666666666669</v>
      </c>
      <c r="F147">
        <v>283</v>
      </c>
      <c r="G147" s="6" t="s">
        <v>6</v>
      </c>
    </row>
    <row r="148" spans="2:7" x14ac:dyDescent="0.25">
      <c r="B148" s="1">
        <v>45052</v>
      </c>
      <c r="C148" s="7">
        <v>105.77</v>
      </c>
      <c r="D148">
        <v>3</v>
      </c>
      <c r="E148" s="9">
        <v>8.3333333333333329E-2</v>
      </c>
      <c r="F148">
        <v>0</v>
      </c>
      <c r="G148" s="6">
        <v>99</v>
      </c>
    </row>
    <row r="149" spans="2:7" x14ac:dyDescent="0.25">
      <c r="B149" s="1">
        <v>45053</v>
      </c>
      <c r="C149" s="7">
        <v>378.41</v>
      </c>
      <c r="D149">
        <v>16</v>
      </c>
      <c r="E149" s="9">
        <v>0.375</v>
      </c>
      <c r="F149">
        <v>272</v>
      </c>
      <c r="G149" s="6" t="s">
        <v>6</v>
      </c>
    </row>
    <row r="150" spans="2:7" x14ac:dyDescent="0.25">
      <c r="B150" s="1">
        <v>45053</v>
      </c>
      <c r="C150" s="7">
        <v>145.27000000000001</v>
      </c>
      <c r="D150">
        <v>4</v>
      </c>
      <c r="E150" s="9">
        <v>8.3333333333333329E-2</v>
      </c>
      <c r="F150">
        <v>0</v>
      </c>
      <c r="G150" s="6">
        <v>99</v>
      </c>
    </row>
    <row r="151" spans="2:7" x14ac:dyDescent="0.25">
      <c r="B151" s="1">
        <v>45054</v>
      </c>
      <c r="C151" s="7">
        <v>313.82</v>
      </c>
      <c r="D151">
        <v>15</v>
      </c>
      <c r="E151" s="9">
        <v>0.375</v>
      </c>
      <c r="F151">
        <v>231</v>
      </c>
      <c r="G151" s="6" t="s">
        <v>6</v>
      </c>
    </row>
    <row r="152" spans="2:7" x14ac:dyDescent="0.25">
      <c r="B152" s="1">
        <v>45054</v>
      </c>
      <c r="C152" s="7">
        <v>79.41</v>
      </c>
      <c r="D152">
        <v>3</v>
      </c>
      <c r="E152" s="9">
        <v>8.3333333333333329E-2</v>
      </c>
      <c r="F152">
        <v>0</v>
      </c>
      <c r="G152" s="6">
        <v>99</v>
      </c>
    </row>
    <row r="153" spans="2:7" x14ac:dyDescent="0.25">
      <c r="B153" s="1">
        <v>45054</v>
      </c>
      <c r="C153" s="7">
        <v>4.2300000000000004</v>
      </c>
      <c r="D153">
        <v>0</v>
      </c>
      <c r="E153" s="9">
        <v>0</v>
      </c>
      <c r="F153">
        <v>0</v>
      </c>
      <c r="G153" s="6" t="s">
        <v>7</v>
      </c>
    </row>
    <row r="154" spans="2:7" x14ac:dyDescent="0.25">
      <c r="B154" s="1">
        <v>45056</v>
      </c>
      <c r="C154" s="7">
        <v>351.19</v>
      </c>
      <c r="D154">
        <v>18</v>
      </c>
      <c r="E154" s="9">
        <v>0.375</v>
      </c>
      <c r="F154">
        <v>196</v>
      </c>
      <c r="G154" s="6" t="s">
        <v>6</v>
      </c>
    </row>
    <row r="155" spans="2:7" x14ac:dyDescent="0.25">
      <c r="B155" s="1">
        <v>45056</v>
      </c>
      <c r="C155" s="7">
        <v>34.590000000000003</v>
      </c>
      <c r="D155">
        <v>1</v>
      </c>
      <c r="E155" s="9">
        <v>8.3333333333333329E-2</v>
      </c>
      <c r="F155">
        <v>0</v>
      </c>
      <c r="G155" s="6">
        <v>99</v>
      </c>
    </row>
    <row r="156" spans="2:7" x14ac:dyDescent="0.25">
      <c r="B156" s="1">
        <v>45057</v>
      </c>
      <c r="C156" s="7">
        <v>374.97</v>
      </c>
      <c r="D156">
        <v>24</v>
      </c>
      <c r="E156" s="9">
        <v>0.41666666666666669</v>
      </c>
      <c r="F156">
        <v>159</v>
      </c>
      <c r="G156" s="6" t="s">
        <v>6</v>
      </c>
    </row>
    <row r="157" spans="2:7" x14ac:dyDescent="0.25">
      <c r="B157" s="1">
        <v>45057</v>
      </c>
      <c r="C157" s="7">
        <v>32.99</v>
      </c>
      <c r="D157">
        <v>3</v>
      </c>
      <c r="E157" s="9">
        <v>8.3333333333333329E-2</v>
      </c>
      <c r="F157">
        <v>0</v>
      </c>
      <c r="G157" s="6">
        <v>99</v>
      </c>
    </row>
    <row r="158" spans="2:7" x14ac:dyDescent="0.25">
      <c r="B158" s="1">
        <v>45057</v>
      </c>
      <c r="C158" s="7">
        <v>2.1</v>
      </c>
      <c r="D158">
        <v>0</v>
      </c>
      <c r="E158" s="9">
        <v>0</v>
      </c>
      <c r="F158">
        <v>0</v>
      </c>
      <c r="G158" s="6" t="s">
        <v>7</v>
      </c>
    </row>
    <row r="159" spans="2:7" x14ac:dyDescent="0.25">
      <c r="B159" s="1">
        <v>45058</v>
      </c>
      <c r="C159" s="7">
        <v>242.23</v>
      </c>
      <c r="D159">
        <v>12</v>
      </c>
      <c r="E159" s="9">
        <v>0.34166666666666662</v>
      </c>
      <c r="F159">
        <v>144</v>
      </c>
      <c r="G159" s="6" t="s">
        <v>6</v>
      </c>
    </row>
    <row r="160" spans="2:7" x14ac:dyDescent="0.25">
      <c r="B160" s="1">
        <v>45058</v>
      </c>
      <c r="C160" s="7">
        <v>82.74</v>
      </c>
      <c r="D160">
        <v>5</v>
      </c>
      <c r="E160" s="9">
        <v>0.125</v>
      </c>
      <c r="F160">
        <v>0</v>
      </c>
      <c r="G160" s="6">
        <v>99</v>
      </c>
    </row>
    <row r="161" spans="2:7" x14ac:dyDescent="0.25">
      <c r="B161" s="1">
        <v>45058</v>
      </c>
      <c r="C161" s="7">
        <v>5</v>
      </c>
      <c r="D161">
        <v>0</v>
      </c>
      <c r="E161" s="9">
        <v>0</v>
      </c>
      <c r="F161">
        <v>0</v>
      </c>
      <c r="G161" s="6" t="s">
        <v>7</v>
      </c>
    </row>
    <row r="162" spans="2:7" x14ac:dyDescent="0.25">
      <c r="B162" s="1">
        <v>45059</v>
      </c>
      <c r="C162" s="7">
        <v>324.79000000000002</v>
      </c>
      <c r="D162">
        <v>13</v>
      </c>
      <c r="E162" s="9">
        <v>0.37222222222222223</v>
      </c>
      <c r="F162">
        <v>216</v>
      </c>
      <c r="G162" s="6" t="s">
        <v>6</v>
      </c>
    </row>
    <row r="163" spans="2:7" x14ac:dyDescent="0.25">
      <c r="B163" s="1">
        <v>45059</v>
      </c>
      <c r="C163" s="7">
        <v>82.59</v>
      </c>
      <c r="D163">
        <v>3</v>
      </c>
      <c r="E163" s="9">
        <v>8.3333333333333329E-2</v>
      </c>
      <c r="F163">
        <v>0</v>
      </c>
      <c r="G163" s="6">
        <v>99</v>
      </c>
    </row>
    <row r="164" spans="2:7" x14ac:dyDescent="0.25">
      <c r="B164" s="1">
        <v>45060</v>
      </c>
      <c r="C164" s="7">
        <v>336.86</v>
      </c>
      <c r="D164">
        <v>15</v>
      </c>
      <c r="E164" s="9">
        <v>0.3354166666666667</v>
      </c>
      <c r="F164">
        <v>169</v>
      </c>
      <c r="G164" s="6" t="s">
        <v>6</v>
      </c>
    </row>
    <row r="165" spans="2:7" x14ac:dyDescent="0.25">
      <c r="B165" s="1">
        <v>45060</v>
      </c>
      <c r="C165" s="7">
        <v>123.36</v>
      </c>
      <c r="D165">
        <v>7</v>
      </c>
      <c r="E165" s="9">
        <v>0.125</v>
      </c>
      <c r="F165">
        <v>0</v>
      </c>
      <c r="G165" s="6">
        <v>99</v>
      </c>
    </row>
    <row r="166" spans="2:7" x14ac:dyDescent="0.25">
      <c r="B166" s="1">
        <v>45063</v>
      </c>
      <c r="C166" s="7">
        <v>340.94</v>
      </c>
      <c r="D166">
        <v>12</v>
      </c>
      <c r="E166" s="9">
        <v>0.39861111111111108</v>
      </c>
      <c r="F166">
        <v>188</v>
      </c>
      <c r="G166" s="6" t="s">
        <v>6</v>
      </c>
    </row>
    <row r="167" spans="2:7" x14ac:dyDescent="0.25">
      <c r="B167" s="1">
        <v>45063</v>
      </c>
      <c r="C167" s="7">
        <v>97.2</v>
      </c>
      <c r="D167">
        <v>5</v>
      </c>
      <c r="E167" s="9">
        <v>8.3333333333333329E-2</v>
      </c>
      <c r="F167">
        <v>0</v>
      </c>
      <c r="G167" s="6">
        <v>99</v>
      </c>
    </row>
    <row r="168" spans="2:7" x14ac:dyDescent="0.25">
      <c r="B168" s="1">
        <v>45064</v>
      </c>
      <c r="C168" s="7">
        <v>195.62</v>
      </c>
      <c r="D168">
        <v>8</v>
      </c>
      <c r="E168" s="9">
        <v>0.33124999999999999</v>
      </c>
      <c r="F168">
        <v>197</v>
      </c>
      <c r="G168" s="6" t="s">
        <v>6</v>
      </c>
    </row>
    <row r="169" spans="2:7" x14ac:dyDescent="0.25">
      <c r="B169" s="1">
        <v>45064</v>
      </c>
      <c r="C169" s="7">
        <v>208.94</v>
      </c>
      <c r="D169">
        <v>9</v>
      </c>
      <c r="E169" s="9">
        <v>0.16666666666666666</v>
      </c>
      <c r="F169">
        <v>0</v>
      </c>
      <c r="G169" s="6">
        <v>99</v>
      </c>
    </row>
    <row r="170" spans="2:7" x14ac:dyDescent="0.25">
      <c r="B170" s="1">
        <v>45065</v>
      </c>
      <c r="C170" s="7">
        <v>336.68</v>
      </c>
      <c r="D170">
        <v>14</v>
      </c>
      <c r="E170" s="9">
        <v>0.42638888888888887</v>
      </c>
      <c r="F170">
        <v>210</v>
      </c>
      <c r="G170" s="6" t="s">
        <v>6</v>
      </c>
    </row>
    <row r="171" spans="2:7" x14ac:dyDescent="0.25">
      <c r="B171" s="1">
        <v>45065</v>
      </c>
      <c r="C171" s="7">
        <v>82.6</v>
      </c>
      <c r="D171">
        <v>5</v>
      </c>
      <c r="E171" s="9">
        <v>8.3333333333333329E-2</v>
      </c>
      <c r="F171">
        <v>0</v>
      </c>
      <c r="G171" s="6">
        <v>99</v>
      </c>
    </row>
    <row r="172" spans="2:7" x14ac:dyDescent="0.25">
      <c r="B172" s="1">
        <v>45066</v>
      </c>
      <c r="C172" s="7">
        <v>366.89</v>
      </c>
      <c r="D172">
        <v>13</v>
      </c>
      <c r="E172" s="9">
        <v>0.33958333333333335</v>
      </c>
      <c r="F172">
        <v>276</v>
      </c>
      <c r="G172" s="6" t="s">
        <v>6</v>
      </c>
    </row>
    <row r="173" spans="2:7" x14ac:dyDescent="0.25">
      <c r="B173" s="1">
        <v>45066</v>
      </c>
      <c r="C173" s="7">
        <v>158.82</v>
      </c>
      <c r="D173">
        <v>5</v>
      </c>
      <c r="E173" s="9">
        <v>8.3333333333333329E-2</v>
      </c>
      <c r="F173">
        <v>0</v>
      </c>
      <c r="G173" s="6">
        <v>99</v>
      </c>
    </row>
    <row r="174" spans="2:7" x14ac:dyDescent="0.25">
      <c r="B174" s="1">
        <v>45067</v>
      </c>
      <c r="C174" s="7">
        <v>415.19</v>
      </c>
      <c r="D174">
        <v>14</v>
      </c>
      <c r="E174" s="9">
        <v>0.34097222222222223</v>
      </c>
      <c r="F174">
        <v>261</v>
      </c>
      <c r="G174" s="6" t="s">
        <v>6</v>
      </c>
    </row>
    <row r="175" spans="2:7" x14ac:dyDescent="0.25">
      <c r="B175" s="1">
        <v>45067</v>
      </c>
      <c r="C175" s="7">
        <v>27.58</v>
      </c>
      <c r="D175">
        <v>1</v>
      </c>
      <c r="E175" s="9">
        <v>1.3888888888888888E-2</v>
      </c>
      <c r="F175">
        <v>0</v>
      </c>
      <c r="G175" s="6">
        <v>99</v>
      </c>
    </row>
    <row r="176" spans="2:7" x14ac:dyDescent="0.25">
      <c r="B176" s="1">
        <v>45067</v>
      </c>
      <c r="C176" s="7">
        <v>25</v>
      </c>
      <c r="D176">
        <v>1</v>
      </c>
      <c r="E176" s="9">
        <v>1.3888888888888888E-2</v>
      </c>
      <c r="F176">
        <v>0</v>
      </c>
      <c r="G176" s="6" t="s">
        <v>41</v>
      </c>
    </row>
    <row r="177" spans="2:7" x14ac:dyDescent="0.25">
      <c r="B177" s="1">
        <v>45068</v>
      </c>
      <c r="C177" s="7">
        <v>341.43</v>
      </c>
      <c r="D177">
        <v>14</v>
      </c>
      <c r="E177" s="9">
        <v>0.38125000000000003</v>
      </c>
      <c r="F177">
        <v>186</v>
      </c>
      <c r="G177" s="6" t="s">
        <v>6</v>
      </c>
    </row>
    <row r="178" spans="2:7" x14ac:dyDescent="0.25">
      <c r="B178" s="1">
        <v>45068</v>
      </c>
      <c r="C178" s="7">
        <v>39.83</v>
      </c>
      <c r="D178">
        <v>3</v>
      </c>
      <c r="E178" s="9">
        <v>4.1666666666666664E-2</v>
      </c>
      <c r="F178">
        <v>0</v>
      </c>
      <c r="G178" s="6">
        <v>99</v>
      </c>
    </row>
    <row r="179" spans="2:7" x14ac:dyDescent="0.25">
      <c r="B179" s="1">
        <v>45070</v>
      </c>
      <c r="C179" s="7">
        <v>351.9</v>
      </c>
      <c r="D179">
        <v>9</v>
      </c>
      <c r="E179" s="9">
        <v>0.33819444444444446</v>
      </c>
      <c r="F179">
        <v>268</v>
      </c>
      <c r="G179" s="6" t="s">
        <v>6</v>
      </c>
    </row>
    <row r="180" spans="2:7" x14ac:dyDescent="0.25">
      <c r="B180" s="1">
        <v>45070</v>
      </c>
      <c r="C180" s="7">
        <v>95.21</v>
      </c>
      <c r="D180">
        <v>2</v>
      </c>
      <c r="E180" s="9">
        <v>8.3333333333333329E-2</v>
      </c>
      <c r="F180">
        <v>0</v>
      </c>
      <c r="G180" s="6">
        <v>99</v>
      </c>
    </row>
    <row r="181" spans="2:7" x14ac:dyDescent="0.25">
      <c r="B181" s="1">
        <v>45071</v>
      </c>
      <c r="C181" s="7">
        <v>355.51</v>
      </c>
      <c r="D181">
        <v>15</v>
      </c>
      <c r="E181" s="9">
        <v>0.43541666666666662</v>
      </c>
      <c r="F181">
        <v>198</v>
      </c>
      <c r="G181" s="6" t="s">
        <v>6</v>
      </c>
    </row>
    <row r="182" spans="2:7" x14ac:dyDescent="0.25">
      <c r="B182" s="1">
        <v>45071</v>
      </c>
      <c r="C182" s="7">
        <v>9.6999999999999993</v>
      </c>
      <c r="D182">
        <v>1</v>
      </c>
      <c r="E182" s="9">
        <v>6.9444444444444441E-3</v>
      </c>
      <c r="F182">
        <v>0</v>
      </c>
      <c r="G182" s="6">
        <v>99</v>
      </c>
    </row>
    <row r="183" spans="2:7" x14ac:dyDescent="0.25">
      <c r="B183" s="1">
        <v>45072</v>
      </c>
      <c r="C183" s="7">
        <v>374.33</v>
      </c>
      <c r="D183">
        <v>14</v>
      </c>
      <c r="E183" s="9">
        <v>0.37152777777777773</v>
      </c>
      <c r="F183">
        <v>277</v>
      </c>
      <c r="G183" s="6" t="s">
        <v>6</v>
      </c>
    </row>
    <row r="184" spans="2:7" x14ac:dyDescent="0.25">
      <c r="B184" s="1">
        <v>45072</v>
      </c>
      <c r="C184" s="7">
        <v>98.42</v>
      </c>
      <c r="D184">
        <v>3</v>
      </c>
      <c r="E184" s="9">
        <v>6.25E-2</v>
      </c>
      <c r="F184">
        <v>0</v>
      </c>
      <c r="G184" s="6">
        <v>99</v>
      </c>
    </row>
    <row r="185" spans="2:7" x14ac:dyDescent="0.25">
      <c r="B185" s="1">
        <v>45073</v>
      </c>
      <c r="C185" s="7">
        <v>280.43</v>
      </c>
      <c r="D185">
        <v>9</v>
      </c>
      <c r="E185" s="9">
        <v>0.28194444444444444</v>
      </c>
      <c r="F185">
        <v>235</v>
      </c>
      <c r="G185" s="6" t="s">
        <v>6</v>
      </c>
    </row>
    <row r="186" spans="2:7" x14ac:dyDescent="0.25">
      <c r="B186" s="1">
        <v>45073</v>
      </c>
      <c r="C186" s="7">
        <v>133.94999999999999</v>
      </c>
      <c r="D186">
        <v>5</v>
      </c>
      <c r="E186" s="9">
        <v>8.3333333333333329E-2</v>
      </c>
      <c r="F186">
        <v>0</v>
      </c>
      <c r="G186" s="6">
        <v>99</v>
      </c>
    </row>
    <row r="187" spans="2:7" x14ac:dyDescent="0.25">
      <c r="B187" s="1">
        <v>45074</v>
      </c>
      <c r="C187" s="7">
        <v>248.72</v>
      </c>
      <c r="D187">
        <v>11</v>
      </c>
      <c r="E187" s="9">
        <v>0.26874999999999999</v>
      </c>
      <c r="F187">
        <v>190</v>
      </c>
      <c r="G187" s="6" t="s">
        <v>6</v>
      </c>
    </row>
    <row r="188" spans="2:7" x14ac:dyDescent="0.25">
      <c r="B188" s="1">
        <v>45074</v>
      </c>
      <c r="C188" s="7">
        <v>140.16999999999999</v>
      </c>
      <c r="D188">
        <v>5</v>
      </c>
      <c r="E188" s="9">
        <v>8.3333333333333329E-2</v>
      </c>
      <c r="F188">
        <v>0</v>
      </c>
      <c r="G188" s="6">
        <v>99</v>
      </c>
    </row>
    <row r="189" spans="2:7" x14ac:dyDescent="0.25">
      <c r="B189" s="1">
        <v>45075</v>
      </c>
      <c r="C189" s="7">
        <v>238.02</v>
      </c>
      <c r="D189">
        <v>7</v>
      </c>
      <c r="E189" s="9">
        <v>0.32083333333333336</v>
      </c>
      <c r="F189">
        <v>166</v>
      </c>
      <c r="G189" s="6" t="s">
        <v>6</v>
      </c>
    </row>
    <row r="190" spans="2:7" x14ac:dyDescent="0.25">
      <c r="B190" s="1">
        <v>45075</v>
      </c>
      <c r="C190" s="7">
        <v>18.920000000000002</v>
      </c>
      <c r="D190">
        <v>1</v>
      </c>
      <c r="E190" s="9">
        <v>2.0833333333333332E-2</v>
      </c>
      <c r="F190">
        <v>0</v>
      </c>
      <c r="G190" s="6">
        <v>99</v>
      </c>
    </row>
    <row r="191" spans="2:7" x14ac:dyDescent="0.25">
      <c r="B191" s="1">
        <v>45077</v>
      </c>
      <c r="C191" s="7">
        <v>201.57</v>
      </c>
      <c r="D191">
        <v>9</v>
      </c>
      <c r="E191" s="9">
        <v>0.28055555555555556</v>
      </c>
      <c r="F191">
        <v>214</v>
      </c>
      <c r="G191" s="6" t="s">
        <v>6</v>
      </c>
    </row>
    <row r="192" spans="2:7" x14ac:dyDescent="0.25">
      <c r="B192" s="1">
        <v>45077</v>
      </c>
      <c r="C192" s="7">
        <v>266.54000000000002</v>
      </c>
      <c r="D192">
        <v>8</v>
      </c>
      <c r="E192" s="9">
        <v>0.16666666666666666</v>
      </c>
      <c r="F192">
        <v>0</v>
      </c>
      <c r="G192" s="6">
        <v>99</v>
      </c>
    </row>
    <row r="193" spans="2:7" x14ac:dyDescent="0.25">
      <c r="B193" s="1">
        <v>45078</v>
      </c>
      <c r="C193" s="7">
        <v>327.27</v>
      </c>
      <c r="D193">
        <v>11</v>
      </c>
      <c r="E193" s="9">
        <v>0.37083333333333335</v>
      </c>
      <c r="F193">
        <v>186</v>
      </c>
      <c r="G193" s="6" t="s">
        <v>6</v>
      </c>
    </row>
    <row r="194" spans="2:7" x14ac:dyDescent="0.25">
      <c r="B194" s="1">
        <v>45078</v>
      </c>
      <c r="C194" s="7">
        <v>79.91</v>
      </c>
      <c r="D194">
        <v>5</v>
      </c>
      <c r="E194" s="9">
        <v>4.1666666666666664E-2</v>
      </c>
      <c r="F194">
        <v>0</v>
      </c>
      <c r="G194" s="6">
        <v>99</v>
      </c>
    </row>
    <row r="195" spans="2:7" x14ac:dyDescent="0.25">
      <c r="B195" s="1">
        <v>45079</v>
      </c>
      <c r="C195" s="7">
        <v>252.74</v>
      </c>
      <c r="D195">
        <v>8</v>
      </c>
      <c r="E195" s="9">
        <v>0.32222222222222224</v>
      </c>
      <c r="F195">
        <v>141</v>
      </c>
      <c r="G195" s="6" t="s">
        <v>6</v>
      </c>
    </row>
    <row r="196" spans="2:7" x14ac:dyDescent="0.25">
      <c r="B196" s="1">
        <v>45079</v>
      </c>
      <c r="C196" s="7">
        <v>33.29</v>
      </c>
      <c r="D196">
        <v>1</v>
      </c>
      <c r="E196" s="9">
        <v>2.0833333333333332E-2</v>
      </c>
      <c r="F196">
        <v>0</v>
      </c>
      <c r="G196" s="6">
        <v>99</v>
      </c>
    </row>
    <row r="197" spans="2:7" x14ac:dyDescent="0.25">
      <c r="B197" s="1">
        <v>45082</v>
      </c>
      <c r="C197" s="7">
        <v>379.88</v>
      </c>
      <c r="D197">
        <v>14</v>
      </c>
      <c r="E197" s="9">
        <v>0.40277777777777773</v>
      </c>
      <c r="F197">
        <v>204</v>
      </c>
      <c r="G197" s="6" t="s">
        <v>6</v>
      </c>
    </row>
    <row r="198" spans="2:7" x14ac:dyDescent="0.25">
      <c r="B198" s="1">
        <v>45082</v>
      </c>
      <c r="C198" s="7">
        <v>70.34</v>
      </c>
      <c r="D198">
        <v>2</v>
      </c>
      <c r="E198" s="9">
        <v>4.1666666666666664E-2</v>
      </c>
      <c r="F198">
        <v>0</v>
      </c>
      <c r="G198" s="6">
        <v>99</v>
      </c>
    </row>
    <row r="199" spans="2:7" x14ac:dyDescent="0.25">
      <c r="B199" s="1">
        <v>45084</v>
      </c>
      <c r="C199" s="7">
        <v>350.78</v>
      </c>
      <c r="D199">
        <v>13</v>
      </c>
      <c r="E199" s="9">
        <v>0.3979166666666667</v>
      </c>
      <c r="F199">
        <v>222</v>
      </c>
      <c r="G199" s="6" t="s">
        <v>6</v>
      </c>
    </row>
    <row r="200" spans="2:7" x14ac:dyDescent="0.25">
      <c r="B200" s="1">
        <v>45084</v>
      </c>
      <c r="C200" s="7">
        <v>106.45</v>
      </c>
      <c r="D200">
        <v>4</v>
      </c>
      <c r="E200" s="9">
        <v>8.3333333333333329E-2</v>
      </c>
      <c r="F200">
        <v>0</v>
      </c>
      <c r="G200" s="6">
        <v>99</v>
      </c>
    </row>
    <row r="201" spans="2:7" x14ac:dyDescent="0.25">
      <c r="B201" s="1">
        <v>45084</v>
      </c>
      <c r="C201" s="7">
        <v>5</v>
      </c>
      <c r="D201">
        <v>0</v>
      </c>
      <c r="E201" s="9">
        <v>0</v>
      </c>
      <c r="F201">
        <v>0</v>
      </c>
      <c r="G201" s="6" t="s">
        <v>7</v>
      </c>
    </row>
    <row r="202" spans="2:7" x14ac:dyDescent="0.25">
      <c r="B202" s="1">
        <v>45085</v>
      </c>
      <c r="C202" s="7">
        <v>366.07</v>
      </c>
      <c r="D202">
        <v>13</v>
      </c>
      <c r="E202" s="9">
        <v>0.3527777777777778</v>
      </c>
      <c r="F202">
        <v>237</v>
      </c>
      <c r="G202" s="6" t="s">
        <v>6</v>
      </c>
    </row>
    <row r="203" spans="2:7" x14ac:dyDescent="0.25">
      <c r="B203" s="1">
        <v>45085</v>
      </c>
      <c r="C203" s="7">
        <v>72.599999999999994</v>
      </c>
      <c r="D203">
        <v>4</v>
      </c>
      <c r="E203" s="9">
        <v>6.25E-2</v>
      </c>
      <c r="F203">
        <v>0</v>
      </c>
      <c r="G203" s="6">
        <v>99</v>
      </c>
    </row>
    <row r="204" spans="2:7" x14ac:dyDescent="0.25">
      <c r="B204" s="1">
        <v>45085</v>
      </c>
      <c r="C204" s="7">
        <v>10</v>
      </c>
      <c r="D204">
        <v>0</v>
      </c>
      <c r="E204" s="9">
        <v>0</v>
      </c>
      <c r="F204">
        <v>0</v>
      </c>
      <c r="G204" s="6" t="s">
        <v>7</v>
      </c>
    </row>
    <row r="205" spans="2:7" x14ac:dyDescent="0.25">
      <c r="B205" s="1">
        <v>45086</v>
      </c>
      <c r="C205" s="7">
        <v>159.29</v>
      </c>
      <c r="D205">
        <v>13</v>
      </c>
      <c r="E205" s="9">
        <v>0.24027777777777778</v>
      </c>
      <c r="F205">
        <v>150</v>
      </c>
      <c r="G205" s="6" t="s">
        <v>6</v>
      </c>
    </row>
    <row r="206" spans="2:7" x14ac:dyDescent="0.25">
      <c r="B206" s="1">
        <v>45086</v>
      </c>
      <c r="C206" s="7">
        <v>94.45</v>
      </c>
      <c r="D206">
        <v>4</v>
      </c>
      <c r="E206" s="9">
        <v>6.25E-2</v>
      </c>
      <c r="F206">
        <v>0</v>
      </c>
      <c r="G206" s="6">
        <v>99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A2D37-ACEC-45B4-979C-642D75F5973F}">
  <sheetPr codeName="Planilha3"/>
  <dimension ref="B2:R134"/>
  <sheetViews>
    <sheetView topLeftCell="A100" workbookViewId="0">
      <selection activeCell="K132" sqref="K132"/>
    </sheetView>
  </sheetViews>
  <sheetFormatPr defaultRowHeight="15" x14ac:dyDescent="0.25"/>
  <cols>
    <col min="2" max="2" width="16.7109375" bestFit="1" customWidth="1"/>
    <col min="3" max="3" width="16.5703125" style="7" customWidth="1"/>
    <col min="4" max="4" width="25.7109375" customWidth="1"/>
  </cols>
  <sheetData>
    <row r="2" spans="2:4" x14ac:dyDescent="0.25">
      <c r="B2" t="s">
        <v>8</v>
      </c>
      <c r="C2" s="7" t="s">
        <v>9</v>
      </c>
      <c r="D2" t="s">
        <v>10</v>
      </c>
    </row>
    <row r="3" spans="2:4" x14ac:dyDescent="0.25">
      <c r="B3" s="1">
        <v>44773</v>
      </c>
      <c r="C3" s="7">
        <f t="shared" ref="C3:C34" ca="1" si="0">RANDBETWEEN(100,120)*-1</f>
        <v>-105</v>
      </c>
      <c r="D3" t="s">
        <v>11</v>
      </c>
    </row>
    <row r="4" spans="2:4" x14ac:dyDescent="0.25">
      <c r="B4" s="1">
        <v>44774</v>
      </c>
      <c r="C4" s="7">
        <f t="shared" ca="1" si="0"/>
        <v>-107</v>
      </c>
      <c r="D4" t="s">
        <v>11</v>
      </c>
    </row>
    <row r="5" spans="2:4" x14ac:dyDescent="0.25">
      <c r="B5" s="1">
        <v>44775</v>
      </c>
      <c r="C5" s="7">
        <f t="shared" ca="1" si="0"/>
        <v>-112</v>
      </c>
      <c r="D5" t="s">
        <v>11</v>
      </c>
    </row>
    <row r="6" spans="2:4" x14ac:dyDescent="0.25">
      <c r="B6" s="1">
        <v>44776</v>
      </c>
      <c r="C6" s="7">
        <f t="shared" ca="1" si="0"/>
        <v>-105</v>
      </c>
      <c r="D6" t="s">
        <v>11</v>
      </c>
    </row>
    <row r="7" spans="2:4" x14ac:dyDescent="0.25">
      <c r="B7" s="1">
        <v>44777</v>
      </c>
      <c r="C7" s="7">
        <f t="shared" ca="1" si="0"/>
        <v>-102</v>
      </c>
      <c r="D7" t="s">
        <v>11</v>
      </c>
    </row>
    <row r="8" spans="2:4" x14ac:dyDescent="0.25">
      <c r="B8" s="1">
        <v>44778</v>
      </c>
      <c r="C8" s="7">
        <f t="shared" ca="1" si="0"/>
        <v>-114</v>
      </c>
      <c r="D8" t="s">
        <v>11</v>
      </c>
    </row>
    <row r="9" spans="2:4" x14ac:dyDescent="0.25">
      <c r="B9" s="1">
        <v>44779</v>
      </c>
      <c r="C9" s="7">
        <f t="shared" ca="1" si="0"/>
        <v>-119</v>
      </c>
      <c r="D9" t="s">
        <v>11</v>
      </c>
    </row>
    <row r="10" spans="2:4" x14ac:dyDescent="0.25">
      <c r="B10" s="1">
        <v>44780</v>
      </c>
      <c r="C10" s="7">
        <f t="shared" ca="1" si="0"/>
        <v>-101</v>
      </c>
      <c r="D10" t="s">
        <v>11</v>
      </c>
    </row>
    <row r="11" spans="2:4" x14ac:dyDescent="0.25">
      <c r="B11" s="1">
        <v>44781</v>
      </c>
      <c r="C11" s="7">
        <f t="shared" ca="1" si="0"/>
        <v>-119</v>
      </c>
      <c r="D11" t="s">
        <v>11</v>
      </c>
    </row>
    <row r="12" spans="2:4" x14ac:dyDescent="0.25">
      <c r="B12" s="1">
        <v>44782</v>
      </c>
      <c r="C12" s="7">
        <f t="shared" ca="1" si="0"/>
        <v>-119</v>
      </c>
      <c r="D12" t="s">
        <v>11</v>
      </c>
    </row>
    <row r="13" spans="2:4" x14ac:dyDescent="0.25">
      <c r="B13" s="1">
        <v>44783</v>
      </c>
      <c r="C13" s="7">
        <f t="shared" ca="1" si="0"/>
        <v>-100</v>
      </c>
      <c r="D13" t="s">
        <v>11</v>
      </c>
    </row>
    <row r="14" spans="2:4" x14ac:dyDescent="0.25">
      <c r="B14" s="1">
        <v>44784</v>
      </c>
      <c r="C14" s="7">
        <f t="shared" ca="1" si="0"/>
        <v>-108</v>
      </c>
      <c r="D14" t="s">
        <v>11</v>
      </c>
    </row>
    <row r="15" spans="2:4" x14ac:dyDescent="0.25">
      <c r="B15" s="1">
        <v>44785</v>
      </c>
      <c r="C15" s="7">
        <f t="shared" ca="1" si="0"/>
        <v>-116</v>
      </c>
      <c r="D15" t="s">
        <v>11</v>
      </c>
    </row>
    <row r="16" spans="2:4" x14ac:dyDescent="0.25">
      <c r="B16" s="1">
        <v>44786</v>
      </c>
      <c r="C16" s="7">
        <f t="shared" ca="1" si="0"/>
        <v>-117</v>
      </c>
      <c r="D16" t="s">
        <v>11</v>
      </c>
    </row>
    <row r="17" spans="2:4" x14ac:dyDescent="0.25">
      <c r="B17" s="1">
        <v>44787</v>
      </c>
      <c r="C17" s="7">
        <f t="shared" ca="1" si="0"/>
        <v>-113</v>
      </c>
      <c r="D17" t="s">
        <v>11</v>
      </c>
    </row>
    <row r="18" spans="2:4" x14ac:dyDescent="0.25">
      <c r="B18" s="1">
        <v>44788</v>
      </c>
      <c r="C18" s="7">
        <f t="shared" ca="1" si="0"/>
        <v>-107</v>
      </c>
      <c r="D18" t="s">
        <v>11</v>
      </c>
    </row>
    <row r="19" spans="2:4" x14ac:dyDescent="0.25">
      <c r="B19" s="1">
        <v>44789</v>
      </c>
      <c r="C19" s="7">
        <f t="shared" ca="1" si="0"/>
        <v>-115</v>
      </c>
      <c r="D19" t="s">
        <v>11</v>
      </c>
    </row>
    <row r="20" spans="2:4" x14ac:dyDescent="0.25">
      <c r="B20" s="1">
        <v>44790</v>
      </c>
      <c r="C20" s="7">
        <f t="shared" ca="1" si="0"/>
        <v>-104</v>
      </c>
      <c r="D20" t="s">
        <v>11</v>
      </c>
    </row>
    <row r="21" spans="2:4" x14ac:dyDescent="0.25">
      <c r="B21" s="1">
        <v>44791</v>
      </c>
      <c r="C21" s="7">
        <f t="shared" ca="1" si="0"/>
        <v>-110</v>
      </c>
      <c r="D21" t="s">
        <v>11</v>
      </c>
    </row>
    <row r="22" spans="2:4" x14ac:dyDescent="0.25">
      <c r="B22" s="1">
        <v>44792</v>
      </c>
      <c r="C22" s="7">
        <f t="shared" ca="1" si="0"/>
        <v>-100</v>
      </c>
      <c r="D22" t="s">
        <v>11</v>
      </c>
    </row>
    <row r="23" spans="2:4" x14ac:dyDescent="0.25">
      <c r="B23" s="1">
        <v>44793</v>
      </c>
      <c r="C23" s="7">
        <f t="shared" ca="1" si="0"/>
        <v>-116</v>
      </c>
      <c r="D23" t="s">
        <v>11</v>
      </c>
    </row>
    <row r="24" spans="2:4" x14ac:dyDescent="0.25">
      <c r="B24" s="1">
        <v>44794</v>
      </c>
      <c r="C24" s="7">
        <f t="shared" ca="1" si="0"/>
        <v>-120</v>
      </c>
      <c r="D24" t="s">
        <v>11</v>
      </c>
    </row>
    <row r="25" spans="2:4" x14ac:dyDescent="0.25">
      <c r="B25" s="1">
        <v>44795</v>
      </c>
      <c r="C25" s="7">
        <f t="shared" ca="1" si="0"/>
        <v>-100</v>
      </c>
      <c r="D25" t="s">
        <v>11</v>
      </c>
    </row>
    <row r="26" spans="2:4" x14ac:dyDescent="0.25">
      <c r="B26" s="1">
        <v>44796</v>
      </c>
      <c r="C26" s="7">
        <f t="shared" ca="1" si="0"/>
        <v>-114</v>
      </c>
      <c r="D26" t="s">
        <v>11</v>
      </c>
    </row>
    <row r="27" spans="2:4" x14ac:dyDescent="0.25">
      <c r="B27" s="1">
        <v>44797</v>
      </c>
      <c r="C27" s="7">
        <f t="shared" ca="1" si="0"/>
        <v>-117</v>
      </c>
      <c r="D27" t="s">
        <v>11</v>
      </c>
    </row>
    <row r="28" spans="2:4" x14ac:dyDescent="0.25">
      <c r="B28" s="1">
        <v>44798</v>
      </c>
      <c r="C28" s="7">
        <f t="shared" ca="1" si="0"/>
        <v>-115</v>
      </c>
      <c r="D28" t="s">
        <v>11</v>
      </c>
    </row>
    <row r="29" spans="2:4" x14ac:dyDescent="0.25">
      <c r="B29" s="1">
        <v>44799</v>
      </c>
      <c r="C29" s="7">
        <f t="shared" ca="1" si="0"/>
        <v>-120</v>
      </c>
      <c r="D29" t="s">
        <v>11</v>
      </c>
    </row>
    <row r="30" spans="2:4" x14ac:dyDescent="0.25">
      <c r="B30" s="1">
        <v>44800</v>
      </c>
      <c r="C30" s="7">
        <f t="shared" ca="1" si="0"/>
        <v>-120</v>
      </c>
      <c r="D30" t="s">
        <v>11</v>
      </c>
    </row>
    <row r="31" spans="2:4" x14ac:dyDescent="0.25">
      <c r="B31" s="1">
        <v>44801</v>
      </c>
      <c r="C31" s="7">
        <f t="shared" ca="1" si="0"/>
        <v>-101</v>
      </c>
      <c r="D31" t="s">
        <v>11</v>
      </c>
    </row>
    <row r="32" spans="2:4" x14ac:dyDescent="0.25">
      <c r="B32" s="1">
        <v>44802</v>
      </c>
      <c r="C32" s="7">
        <f t="shared" ca="1" si="0"/>
        <v>-101</v>
      </c>
      <c r="D32" t="s">
        <v>11</v>
      </c>
    </row>
    <row r="33" spans="2:18" x14ac:dyDescent="0.25">
      <c r="B33" s="1">
        <v>44803</v>
      </c>
      <c r="C33" s="7">
        <f t="shared" ca="1" si="0"/>
        <v>-107</v>
      </c>
      <c r="D33" t="s">
        <v>11</v>
      </c>
    </row>
    <row r="34" spans="2:18" x14ac:dyDescent="0.25">
      <c r="B34" s="1">
        <v>44804</v>
      </c>
      <c r="C34" s="7">
        <f t="shared" ca="1" si="0"/>
        <v>-105</v>
      </c>
      <c r="D34" t="s">
        <v>11</v>
      </c>
    </row>
    <row r="35" spans="2:18" x14ac:dyDescent="0.25">
      <c r="B35" s="1">
        <v>44805</v>
      </c>
      <c r="C35" s="7">
        <f t="shared" ref="C35:C66" ca="1" si="1">RANDBETWEEN(100,120)*-1</f>
        <v>-107</v>
      </c>
      <c r="D35" t="s">
        <v>11</v>
      </c>
    </row>
    <row r="36" spans="2:18" x14ac:dyDescent="0.25">
      <c r="B36" s="1">
        <v>44806</v>
      </c>
      <c r="C36" s="7">
        <f t="shared" ca="1" si="1"/>
        <v>-115</v>
      </c>
      <c r="D36" t="s">
        <v>11</v>
      </c>
    </row>
    <row r="37" spans="2:18" x14ac:dyDescent="0.25">
      <c r="B37" s="1">
        <v>44807</v>
      </c>
      <c r="C37" s="7">
        <f t="shared" ca="1" si="1"/>
        <v>-103</v>
      </c>
      <c r="D37" t="s">
        <v>11</v>
      </c>
      <c r="R37" t="s">
        <v>45</v>
      </c>
    </row>
    <row r="38" spans="2:18" x14ac:dyDescent="0.25">
      <c r="B38" s="1">
        <v>44808</v>
      </c>
      <c r="C38" s="7">
        <f t="shared" ca="1" si="1"/>
        <v>-119</v>
      </c>
      <c r="D38" t="s">
        <v>11</v>
      </c>
    </row>
    <row r="39" spans="2:18" x14ac:dyDescent="0.25">
      <c r="B39" s="1">
        <v>44809</v>
      </c>
      <c r="C39" s="7">
        <f t="shared" ca="1" si="1"/>
        <v>-114</v>
      </c>
      <c r="D39" t="s">
        <v>11</v>
      </c>
    </row>
    <row r="40" spans="2:18" x14ac:dyDescent="0.25">
      <c r="B40" s="1">
        <v>44810</v>
      </c>
      <c r="C40" s="7">
        <f t="shared" ca="1" si="1"/>
        <v>-102</v>
      </c>
      <c r="D40" t="s">
        <v>11</v>
      </c>
    </row>
    <row r="41" spans="2:18" x14ac:dyDescent="0.25">
      <c r="B41" s="1">
        <v>44811</v>
      </c>
      <c r="C41" s="7">
        <f t="shared" ca="1" si="1"/>
        <v>-117</v>
      </c>
      <c r="D41" t="s">
        <v>11</v>
      </c>
    </row>
    <row r="42" spans="2:18" x14ac:dyDescent="0.25">
      <c r="B42" s="1">
        <v>44812</v>
      </c>
      <c r="C42" s="7">
        <f t="shared" ca="1" si="1"/>
        <v>-117</v>
      </c>
      <c r="D42" t="s">
        <v>11</v>
      </c>
    </row>
    <row r="43" spans="2:18" x14ac:dyDescent="0.25">
      <c r="B43" s="1">
        <v>44813</v>
      </c>
      <c r="C43" s="7">
        <f t="shared" ca="1" si="1"/>
        <v>-111</v>
      </c>
      <c r="D43" t="s">
        <v>11</v>
      </c>
    </row>
    <row r="44" spans="2:18" x14ac:dyDescent="0.25">
      <c r="B44" s="1">
        <v>44814</v>
      </c>
      <c r="C44" s="7">
        <f t="shared" ca="1" si="1"/>
        <v>-108</v>
      </c>
      <c r="D44" t="s">
        <v>11</v>
      </c>
    </row>
    <row r="45" spans="2:18" x14ac:dyDescent="0.25">
      <c r="B45" s="1">
        <v>44815</v>
      </c>
      <c r="C45" s="7">
        <f t="shared" ca="1" si="1"/>
        <v>-117</v>
      </c>
      <c r="D45" t="s">
        <v>11</v>
      </c>
    </row>
    <row r="46" spans="2:18" x14ac:dyDescent="0.25">
      <c r="B46" s="1">
        <v>44816</v>
      </c>
      <c r="C46" s="7">
        <f t="shared" ca="1" si="1"/>
        <v>-109</v>
      </c>
      <c r="D46" t="s">
        <v>11</v>
      </c>
    </row>
    <row r="47" spans="2:18" x14ac:dyDescent="0.25">
      <c r="B47" s="1">
        <v>44817</v>
      </c>
      <c r="C47" s="7">
        <f t="shared" ca="1" si="1"/>
        <v>-107</v>
      </c>
      <c r="D47" t="s">
        <v>11</v>
      </c>
    </row>
    <row r="48" spans="2:18" x14ac:dyDescent="0.25">
      <c r="B48" s="1">
        <v>44818</v>
      </c>
      <c r="C48" s="7">
        <f t="shared" ca="1" si="1"/>
        <v>-119</v>
      </c>
      <c r="D48" t="s">
        <v>11</v>
      </c>
    </row>
    <row r="49" spans="2:4" x14ac:dyDescent="0.25">
      <c r="B49" s="1">
        <v>44819</v>
      </c>
      <c r="C49" s="7">
        <f t="shared" ca="1" si="1"/>
        <v>-107</v>
      </c>
      <c r="D49" t="s">
        <v>11</v>
      </c>
    </row>
    <row r="50" spans="2:4" x14ac:dyDescent="0.25">
      <c r="B50" s="1">
        <v>44820</v>
      </c>
      <c r="C50" s="7">
        <f t="shared" ca="1" si="1"/>
        <v>-106</v>
      </c>
      <c r="D50" t="s">
        <v>11</v>
      </c>
    </row>
    <row r="51" spans="2:4" x14ac:dyDescent="0.25">
      <c r="B51" s="1">
        <v>44821</v>
      </c>
      <c r="C51" s="7">
        <f t="shared" ca="1" si="1"/>
        <v>-105</v>
      </c>
      <c r="D51" t="s">
        <v>11</v>
      </c>
    </row>
    <row r="52" spans="2:4" x14ac:dyDescent="0.25">
      <c r="B52" s="1">
        <v>44822</v>
      </c>
      <c r="C52" s="7">
        <f t="shared" ca="1" si="1"/>
        <v>-100</v>
      </c>
      <c r="D52" t="s">
        <v>11</v>
      </c>
    </row>
    <row r="53" spans="2:4" x14ac:dyDescent="0.25">
      <c r="B53" s="1">
        <v>44823</v>
      </c>
      <c r="C53" s="7">
        <f t="shared" ca="1" si="1"/>
        <v>-118</v>
      </c>
      <c r="D53" t="s">
        <v>11</v>
      </c>
    </row>
    <row r="54" spans="2:4" x14ac:dyDescent="0.25">
      <c r="B54" s="1">
        <v>44824</v>
      </c>
      <c r="C54" s="7">
        <f t="shared" ca="1" si="1"/>
        <v>-104</v>
      </c>
      <c r="D54" t="s">
        <v>11</v>
      </c>
    </row>
    <row r="55" spans="2:4" x14ac:dyDescent="0.25">
      <c r="B55" s="1">
        <v>44825</v>
      </c>
      <c r="C55" s="7">
        <f t="shared" ca="1" si="1"/>
        <v>-117</v>
      </c>
      <c r="D55" t="s">
        <v>11</v>
      </c>
    </row>
    <row r="56" spans="2:4" x14ac:dyDescent="0.25">
      <c r="B56" s="1">
        <v>44826</v>
      </c>
      <c r="C56" s="7">
        <f t="shared" ca="1" si="1"/>
        <v>-109</v>
      </c>
      <c r="D56" t="s">
        <v>11</v>
      </c>
    </row>
    <row r="57" spans="2:4" x14ac:dyDescent="0.25">
      <c r="B57" s="1">
        <v>44827</v>
      </c>
      <c r="C57" s="7">
        <f t="shared" ca="1" si="1"/>
        <v>-109</v>
      </c>
      <c r="D57" t="s">
        <v>11</v>
      </c>
    </row>
    <row r="58" spans="2:4" x14ac:dyDescent="0.25">
      <c r="B58" s="1">
        <v>44828</v>
      </c>
      <c r="C58" s="7">
        <f t="shared" ca="1" si="1"/>
        <v>-110</v>
      </c>
      <c r="D58" t="s">
        <v>11</v>
      </c>
    </row>
    <row r="59" spans="2:4" x14ac:dyDescent="0.25">
      <c r="B59" s="1">
        <v>44829</v>
      </c>
      <c r="C59" s="7">
        <f t="shared" ca="1" si="1"/>
        <v>-107</v>
      </c>
      <c r="D59" t="s">
        <v>11</v>
      </c>
    </row>
    <row r="60" spans="2:4" x14ac:dyDescent="0.25">
      <c r="B60" s="1">
        <v>44830</v>
      </c>
      <c r="C60" s="7">
        <f t="shared" ca="1" si="1"/>
        <v>-114</v>
      </c>
      <c r="D60" t="s">
        <v>11</v>
      </c>
    </row>
    <row r="61" spans="2:4" x14ac:dyDescent="0.25">
      <c r="B61" s="1">
        <v>44831</v>
      </c>
      <c r="C61" s="7">
        <f t="shared" ca="1" si="1"/>
        <v>-109</v>
      </c>
      <c r="D61" t="s">
        <v>11</v>
      </c>
    </row>
    <row r="62" spans="2:4" x14ac:dyDescent="0.25">
      <c r="B62" s="1">
        <v>44832</v>
      </c>
      <c r="C62" s="7">
        <f t="shared" ca="1" si="1"/>
        <v>-111</v>
      </c>
      <c r="D62" t="s">
        <v>11</v>
      </c>
    </row>
    <row r="63" spans="2:4" x14ac:dyDescent="0.25">
      <c r="B63" s="1">
        <v>44833</v>
      </c>
      <c r="C63" s="7">
        <f t="shared" ca="1" si="1"/>
        <v>-108</v>
      </c>
      <c r="D63" t="s">
        <v>11</v>
      </c>
    </row>
    <row r="64" spans="2:4" x14ac:dyDescent="0.25">
      <c r="B64" s="1">
        <v>44834</v>
      </c>
      <c r="C64" s="7">
        <f t="shared" ca="1" si="1"/>
        <v>-114</v>
      </c>
      <c r="D64" t="s">
        <v>11</v>
      </c>
    </row>
    <row r="65" spans="2:4" x14ac:dyDescent="0.25">
      <c r="B65" s="1">
        <v>44835</v>
      </c>
      <c r="C65" s="7">
        <f t="shared" ca="1" si="1"/>
        <v>-116</v>
      </c>
      <c r="D65" t="s">
        <v>11</v>
      </c>
    </row>
    <row r="66" spans="2:4" x14ac:dyDescent="0.25">
      <c r="B66" s="1">
        <v>44836</v>
      </c>
      <c r="C66" s="7">
        <f t="shared" ca="1" si="1"/>
        <v>-105</v>
      </c>
      <c r="D66" t="s">
        <v>11</v>
      </c>
    </row>
    <row r="67" spans="2:4" x14ac:dyDescent="0.25">
      <c r="B67" s="1">
        <v>44837</v>
      </c>
      <c r="C67" s="7">
        <f t="shared" ref="C67:C81" ca="1" si="2">RANDBETWEEN(100,120)*-1</f>
        <v>-104</v>
      </c>
      <c r="D67" t="s">
        <v>11</v>
      </c>
    </row>
    <row r="68" spans="2:4" x14ac:dyDescent="0.25">
      <c r="B68" s="1">
        <v>44840</v>
      </c>
      <c r="C68" s="7">
        <f t="shared" ca="1" si="2"/>
        <v>-120</v>
      </c>
      <c r="D68" t="s">
        <v>11</v>
      </c>
    </row>
    <row r="69" spans="2:4" x14ac:dyDescent="0.25">
      <c r="B69" s="1">
        <v>44841</v>
      </c>
      <c r="C69" s="7">
        <f t="shared" ca="1" si="2"/>
        <v>-116</v>
      </c>
      <c r="D69" t="s">
        <v>11</v>
      </c>
    </row>
    <row r="70" spans="2:4" x14ac:dyDescent="0.25">
      <c r="B70" s="1">
        <v>44842</v>
      </c>
      <c r="C70" s="7">
        <f t="shared" ca="1" si="2"/>
        <v>-112</v>
      </c>
      <c r="D70" t="s">
        <v>11</v>
      </c>
    </row>
    <row r="71" spans="2:4" x14ac:dyDescent="0.25">
      <c r="B71" s="1">
        <v>44843</v>
      </c>
      <c r="C71" s="7">
        <f t="shared" ca="1" si="2"/>
        <v>-106</v>
      </c>
      <c r="D71" t="s">
        <v>11</v>
      </c>
    </row>
    <row r="72" spans="2:4" x14ac:dyDescent="0.25">
      <c r="B72" s="1">
        <v>44844</v>
      </c>
      <c r="C72" s="7">
        <f t="shared" ca="1" si="2"/>
        <v>-105</v>
      </c>
      <c r="D72" t="s">
        <v>11</v>
      </c>
    </row>
    <row r="73" spans="2:4" x14ac:dyDescent="0.25">
      <c r="B73" s="1">
        <v>44846</v>
      </c>
      <c r="C73" s="7">
        <f t="shared" ca="1" si="2"/>
        <v>-117</v>
      </c>
      <c r="D73" t="s">
        <v>11</v>
      </c>
    </row>
    <row r="74" spans="2:4" x14ac:dyDescent="0.25">
      <c r="B74" s="1">
        <v>44847</v>
      </c>
      <c r="C74" s="7">
        <f t="shared" ca="1" si="2"/>
        <v>-105</v>
      </c>
      <c r="D74" t="s">
        <v>11</v>
      </c>
    </row>
    <row r="75" spans="2:4" x14ac:dyDescent="0.25">
      <c r="B75" s="1">
        <v>44848</v>
      </c>
      <c r="C75" s="7">
        <f t="shared" ca="1" si="2"/>
        <v>-120</v>
      </c>
      <c r="D75" t="s">
        <v>11</v>
      </c>
    </row>
    <row r="76" spans="2:4" x14ac:dyDescent="0.25">
      <c r="B76" s="1">
        <v>44849</v>
      </c>
      <c r="C76" s="7">
        <f t="shared" ca="1" si="2"/>
        <v>-118</v>
      </c>
      <c r="D76" t="s">
        <v>11</v>
      </c>
    </row>
    <row r="77" spans="2:4" x14ac:dyDescent="0.25">
      <c r="B77" s="1">
        <v>44850</v>
      </c>
      <c r="C77" s="7">
        <f t="shared" ca="1" si="2"/>
        <v>-112</v>
      </c>
      <c r="D77" t="s">
        <v>11</v>
      </c>
    </row>
    <row r="78" spans="2:4" x14ac:dyDescent="0.25">
      <c r="B78" s="1">
        <v>44854</v>
      </c>
      <c r="C78" s="7">
        <f t="shared" ca="1" si="2"/>
        <v>-106</v>
      </c>
      <c r="D78" t="s">
        <v>11</v>
      </c>
    </row>
    <row r="79" spans="2:4" x14ac:dyDescent="0.25">
      <c r="B79" s="1">
        <v>44855</v>
      </c>
      <c r="C79" s="7">
        <f t="shared" ca="1" si="2"/>
        <v>-112</v>
      </c>
      <c r="D79" t="s">
        <v>11</v>
      </c>
    </row>
    <row r="80" spans="2:4" x14ac:dyDescent="0.25">
      <c r="B80" s="1">
        <v>44856</v>
      </c>
      <c r="C80" s="7">
        <f t="shared" ca="1" si="2"/>
        <v>-112</v>
      </c>
      <c r="D80" t="s">
        <v>11</v>
      </c>
    </row>
    <row r="81" spans="2:4" x14ac:dyDescent="0.25">
      <c r="B81" s="1">
        <v>44857</v>
      </c>
      <c r="C81" s="7">
        <f t="shared" ca="1" si="2"/>
        <v>-110</v>
      </c>
      <c r="D81" t="s">
        <v>11</v>
      </c>
    </row>
    <row r="82" spans="2:4" x14ac:dyDescent="0.25">
      <c r="B82" s="1">
        <v>45050</v>
      </c>
      <c r="C82" s="10">
        <f ca="1">Tabela35[[#This Row],[Gastos]]*-1</f>
        <v>-103.45</v>
      </c>
      <c r="D82" t="s">
        <v>11</v>
      </c>
    </row>
    <row r="83" spans="2:4" x14ac:dyDescent="0.25">
      <c r="B83" s="1">
        <v>45050</v>
      </c>
      <c r="C83" s="10">
        <v>-105</v>
      </c>
      <c r="D83" t="s">
        <v>46</v>
      </c>
    </row>
    <row r="84" spans="2:4" x14ac:dyDescent="0.25">
      <c r="B84" s="1">
        <v>45051</v>
      </c>
      <c r="C84" s="10">
        <f ca="1">Tabela35[[#This Row],[Gastos]]*-1</f>
        <v>-100</v>
      </c>
      <c r="D84" t="s">
        <v>11</v>
      </c>
    </row>
    <row r="85" spans="2:4" x14ac:dyDescent="0.25">
      <c r="B85" s="1">
        <v>45051</v>
      </c>
      <c r="C85" s="10">
        <v>-105</v>
      </c>
      <c r="D85" t="s">
        <v>46</v>
      </c>
    </row>
    <row r="86" spans="2:4" x14ac:dyDescent="0.25">
      <c r="B86" s="1">
        <v>45052</v>
      </c>
      <c r="C86" s="10">
        <f ca="1">Tabela35[[#This Row],[Gastos]]*-1</f>
        <v>-102</v>
      </c>
      <c r="D86" t="s">
        <v>11</v>
      </c>
    </row>
    <row r="87" spans="2:4" x14ac:dyDescent="0.25">
      <c r="B87" s="1">
        <v>45052</v>
      </c>
      <c r="C87" s="10">
        <v>-105</v>
      </c>
      <c r="D87" t="s">
        <v>46</v>
      </c>
    </row>
    <row r="88" spans="2:4" x14ac:dyDescent="0.25">
      <c r="B88" s="1">
        <v>45053</v>
      </c>
      <c r="C88" s="10">
        <f ca="1">Tabela35[[#This Row],[Gastos]]*-1</f>
        <v>-109</v>
      </c>
      <c r="D88" t="s">
        <v>11</v>
      </c>
    </row>
    <row r="89" spans="2:4" x14ac:dyDescent="0.25">
      <c r="B89" s="1">
        <v>45053</v>
      </c>
      <c r="C89" s="10">
        <v>-105</v>
      </c>
      <c r="D89" t="s">
        <v>46</v>
      </c>
    </row>
    <row r="90" spans="2:4" x14ac:dyDescent="0.25">
      <c r="B90" s="1">
        <v>45054</v>
      </c>
      <c r="C90" s="10">
        <f ca="1">Tabela35[[#This Row],[Gastos]]*-1</f>
        <v>-103.6</v>
      </c>
      <c r="D90" t="s">
        <v>11</v>
      </c>
    </row>
    <row r="91" spans="2:4" x14ac:dyDescent="0.25">
      <c r="B91" s="1">
        <v>45054</v>
      </c>
      <c r="C91" s="10">
        <v>-105</v>
      </c>
      <c r="D91" t="s">
        <v>46</v>
      </c>
    </row>
    <row r="92" spans="2:4" x14ac:dyDescent="0.25">
      <c r="B92" s="1">
        <v>45056</v>
      </c>
      <c r="C92" s="10">
        <f ca="1">Tabela35[[#This Row],[Gastos]]*-1</f>
        <v>-86</v>
      </c>
      <c r="D92" t="s">
        <v>11</v>
      </c>
    </row>
    <row r="93" spans="2:4" x14ac:dyDescent="0.25">
      <c r="B93" s="1">
        <v>45056</v>
      </c>
      <c r="C93" s="10">
        <v>-105</v>
      </c>
      <c r="D93" t="s">
        <v>46</v>
      </c>
    </row>
    <row r="94" spans="2:4" x14ac:dyDescent="0.25">
      <c r="B94" s="1">
        <v>45057</v>
      </c>
      <c r="C94" s="10">
        <f ca="1">Tabela35[[#This Row],[Gastos]]*-1</f>
        <v>-86</v>
      </c>
      <c r="D94" t="s">
        <v>11</v>
      </c>
    </row>
    <row r="95" spans="2:4" x14ac:dyDescent="0.25">
      <c r="B95" s="1">
        <v>45057</v>
      </c>
      <c r="C95" s="10">
        <v>-105</v>
      </c>
      <c r="D95" t="s">
        <v>46</v>
      </c>
    </row>
    <row r="96" spans="2:4" x14ac:dyDescent="0.25">
      <c r="B96" s="1">
        <v>45058</v>
      </c>
      <c r="C96" s="10">
        <f ca="1">Tabela35[[#This Row],[Gastos]]*-1</f>
        <v>-85</v>
      </c>
      <c r="D96" t="s">
        <v>11</v>
      </c>
    </row>
    <row r="97" spans="2:4" x14ac:dyDescent="0.25">
      <c r="B97" s="1">
        <v>45058</v>
      </c>
      <c r="C97" s="10">
        <v>-105</v>
      </c>
      <c r="D97" t="s">
        <v>46</v>
      </c>
    </row>
    <row r="98" spans="2:4" x14ac:dyDescent="0.25">
      <c r="B98" s="1">
        <v>45059</v>
      </c>
      <c r="C98" s="10">
        <f ca="1">Tabela35[[#This Row],[Gastos]]*-1</f>
        <v>-85</v>
      </c>
      <c r="D98" t="s">
        <v>11</v>
      </c>
    </row>
    <row r="99" spans="2:4" x14ac:dyDescent="0.25">
      <c r="B99" s="1">
        <v>45059</v>
      </c>
      <c r="C99" s="10">
        <v>-105</v>
      </c>
      <c r="D99" t="s">
        <v>46</v>
      </c>
    </row>
    <row r="100" spans="2:4" x14ac:dyDescent="0.25">
      <c r="B100" s="1">
        <v>45060</v>
      </c>
      <c r="C100" s="10">
        <f ca="1">Tabela35[[#This Row],[Gastos]]*-1</f>
        <v>-85</v>
      </c>
      <c r="D100" t="s">
        <v>11</v>
      </c>
    </row>
    <row r="101" spans="2:4" x14ac:dyDescent="0.25">
      <c r="B101" s="1">
        <v>45060</v>
      </c>
      <c r="C101" s="10">
        <v>-105</v>
      </c>
      <c r="D101" t="s">
        <v>46</v>
      </c>
    </row>
    <row r="102" spans="2:4" x14ac:dyDescent="0.25">
      <c r="B102" s="1">
        <v>45063</v>
      </c>
      <c r="C102" s="10">
        <f ca="1">Tabela35[[#This Row],[Gastos]]*-1</f>
        <v>-93.25</v>
      </c>
      <c r="D102" t="s">
        <v>11</v>
      </c>
    </row>
    <row r="103" spans="2:4" x14ac:dyDescent="0.25">
      <c r="B103" s="1">
        <v>45063</v>
      </c>
      <c r="C103" s="10">
        <v>-105</v>
      </c>
      <c r="D103" t="s">
        <v>46</v>
      </c>
    </row>
    <row r="104" spans="2:4" x14ac:dyDescent="0.25">
      <c r="B104" s="1">
        <v>45064</v>
      </c>
      <c r="C104" s="10">
        <f ca="1">Tabela35[[#This Row],[Gastos]]*-1</f>
        <v>-93.25</v>
      </c>
      <c r="D104" t="s">
        <v>11</v>
      </c>
    </row>
    <row r="105" spans="2:4" x14ac:dyDescent="0.25">
      <c r="B105" s="1">
        <v>45064</v>
      </c>
      <c r="C105" s="10">
        <v>-105</v>
      </c>
      <c r="D105" t="s">
        <v>46</v>
      </c>
    </row>
    <row r="106" spans="2:4" x14ac:dyDescent="0.25">
      <c r="B106" s="1">
        <v>45065</v>
      </c>
      <c r="C106" s="10">
        <f ca="1">Tabela35[[#This Row],[Gastos]]*-1</f>
        <v>-91</v>
      </c>
      <c r="D106" t="s">
        <v>11</v>
      </c>
    </row>
    <row r="107" spans="2:4" x14ac:dyDescent="0.25">
      <c r="B107" s="1">
        <v>45065</v>
      </c>
      <c r="C107" s="10">
        <v>-105</v>
      </c>
      <c r="D107" t="s">
        <v>46</v>
      </c>
    </row>
    <row r="108" spans="2:4" x14ac:dyDescent="0.25">
      <c r="B108" s="1">
        <v>45066</v>
      </c>
      <c r="C108" s="10">
        <f ca="1">Tabela35[[#This Row],[Gastos]]*-1</f>
        <v>-97</v>
      </c>
      <c r="D108" t="s">
        <v>11</v>
      </c>
    </row>
    <row r="109" spans="2:4" x14ac:dyDescent="0.25">
      <c r="B109" s="1">
        <v>45066</v>
      </c>
      <c r="C109" s="10">
        <v>-105</v>
      </c>
      <c r="D109" t="s">
        <v>46</v>
      </c>
    </row>
    <row r="110" spans="2:4" x14ac:dyDescent="0.25">
      <c r="B110" s="1">
        <v>45067</v>
      </c>
      <c r="C110" s="10">
        <f ca="1">Tabela35[[#This Row],[Gastos]]*-1</f>
        <v>-97</v>
      </c>
      <c r="D110" t="s">
        <v>11</v>
      </c>
    </row>
    <row r="111" spans="2:4" x14ac:dyDescent="0.25">
      <c r="B111" s="1">
        <v>45067</v>
      </c>
      <c r="C111" s="10">
        <v>-105</v>
      </c>
      <c r="D111" t="s">
        <v>46</v>
      </c>
    </row>
    <row r="112" spans="2:4" x14ac:dyDescent="0.25">
      <c r="B112" s="1">
        <v>45068</v>
      </c>
      <c r="C112" s="10">
        <f ca="1">Tabela35[[#This Row],[Gastos]]*-1</f>
        <v>-75</v>
      </c>
      <c r="D112" t="s">
        <v>11</v>
      </c>
    </row>
    <row r="113" spans="2:4" x14ac:dyDescent="0.25">
      <c r="B113" s="1">
        <v>45068</v>
      </c>
      <c r="C113" s="10">
        <v>-105</v>
      </c>
      <c r="D113" t="s">
        <v>46</v>
      </c>
    </row>
    <row r="114" spans="2:4" x14ac:dyDescent="0.25">
      <c r="B114" s="1">
        <v>45070</v>
      </c>
      <c r="C114" s="10">
        <f ca="1">Tabela35[[#This Row],[Gastos]]*-1</f>
        <v>-91</v>
      </c>
      <c r="D114" t="s">
        <v>11</v>
      </c>
    </row>
    <row r="115" spans="2:4" x14ac:dyDescent="0.25">
      <c r="B115" s="1">
        <v>45070</v>
      </c>
      <c r="C115" s="10">
        <v>-105</v>
      </c>
      <c r="D115" t="s">
        <v>46</v>
      </c>
    </row>
    <row r="116" spans="2:4" x14ac:dyDescent="0.25">
      <c r="B116" s="1">
        <v>45071</v>
      </c>
      <c r="C116" s="10">
        <f ca="1">Tabela35[[#This Row],[Gastos]]*-1</f>
        <v>-80</v>
      </c>
      <c r="D116" t="s">
        <v>11</v>
      </c>
    </row>
    <row r="117" spans="2:4" x14ac:dyDescent="0.25">
      <c r="B117" s="1">
        <v>45071</v>
      </c>
      <c r="C117" s="10">
        <v>-105</v>
      </c>
      <c r="D117" t="s">
        <v>46</v>
      </c>
    </row>
    <row r="118" spans="2:4" x14ac:dyDescent="0.25">
      <c r="B118" s="1">
        <v>45072</v>
      </c>
      <c r="C118" s="10">
        <f ca="1">Tabela35[[#This Row],[Gastos]]*-1</f>
        <v>-80</v>
      </c>
      <c r="D118" t="s">
        <v>11</v>
      </c>
    </row>
    <row r="119" spans="2:4" x14ac:dyDescent="0.25">
      <c r="B119" s="1">
        <v>45072</v>
      </c>
      <c r="C119" s="10">
        <v>-105</v>
      </c>
      <c r="D119" t="s">
        <v>46</v>
      </c>
    </row>
    <row r="120" spans="2:4" x14ac:dyDescent="0.25">
      <c r="B120" s="1">
        <v>45073</v>
      </c>
      <c r="C120" s="10">
        <f ca="1">Tabela35[[#This Row],[Gastos]]*-1</f>
        <v>-86</v>
      </c>
      <c r="D120" t="s">
        <v>11</v>
      </c>
    </row>
    <row r="121" spans="2:4" x14ac:dyDescent="0.25">
      <c r="B121" s="1">
        <v>45073</v>
      </c>
      <c r="C121" s="10">
        <v>-105</v>
      </c>
      <c r="D121" t="s">
        <v>46</v>
      </c>
    </row>
    <row r="122" spans="2:4" x14ac:dyDescent="0.25">
      <c r="B122" s="1">
        <v>45074</v>
      </c>
      <c r="C122" s="10">
        <f ca="1">Tabela35[[#This Row],[Gastos]]*-1</f>
        <v>-80</v>
      </c>
      <c r="D122" t="s">
        <v>11</v>
      </c>
    </row>
    <row r="123" spans="2:4" x14ac:dyDescent="0.25">
      <c r="B123" s="1">
        <v>45074</v>
      </c>
      <c r="C123" s="10">
        <v>-105</v>
      </c>
      <c r="D123" t="s">
        <v>46</v>
      </c>
    </row>
    <row r="124" spans="2:4" x14ac:dyDescent="0.25">
      <c r="B124" s="1">
        <v>45075</v>
      </c>
      <c r="C124" s="10">
        <f ca="1">Tabela35[[#This Row],[Gastos]]*-1</f>
        <v>-67.5</v>
      </c>
      <c r="D124" t="s">
        <v>11</v>
      </c>
    </row>
    <row r="125" spans="2:4" x14ac:dyDescent="0.25">
      <c r="B125" s="1">
        <v>45075</v>
      </c>
      <c r="C125" s="10">
        <v>-105</v>
      </c>
      <c r="D125" t="s">
        <v>46</v>
      </c>
    </row>
    <row r="126" spans="2:4" x14ac:dyDescent="0.25">
      <c r="B126" s="1">
        <v>45077</v>
      </c>
      <c r="C126" s="10">
        <f ca="1">Tabela35[[#This Row],[Gastos]]*-1</f>
        <v>-80</v>
      </c>
      <c r="D126" t="s">
        <v>11</v>
      </c>
    </row>
    <row r="127" spans="2:4" x14ac:dyDescent="0.25">
      <c r="B127" s="1">
        <v>45078</v>
      </c>
      <c r="C127" s="7">
        <v>-60</v>
      </c>
      <c r="D127" t="s">
        <v>11</v>
      </c>
    </row>
    <row r="128" spans="2:4" x14ac:dyDescent="0.25">
      <c r="B128" s="1">
        <v>45079</v>
      </c>
      <c r="C128" s="7">
        <v>-65</v>
      </c>
      <c r="D128" t="s">
        <v>11</v>
      </c>
    </row>
    <row r="129" spans="2:4" x14ac:dyDescent="0.25">
      <c r="B129" s="1">
        <v>45079</v>
      </c>
      <c r="C129" s="7">
        <v>-629</v>
      </c>
      <c r="D129" t="s">
        <v>46</v>
      </c>
    </row>
    <row r="130" spans="2:4" x14ac:dyDescent="0.25">
      <c r="B130" s="1">
        <v>45082</v>
      </c>
      <c r="C130" s="7">
        <v>-80</v>
      </c>
      <c r="D130" t="s">
        <v>11</v>
      </c>
    </row>
    <row r="131" spans="2:4" x14ac:dyDescent="0.25">
      <c r="B131" s="1">
        <v>45084</v>
      </c>
      <c r="C131" s="7">
        <v>-91.3</v>
      </c>
      <c r="D131" t="s">
        <v>11</v>
      </c>
    </row>
    <row r="132" spans="2:4" x14ac:dyDescent="0.25">
      <c r="B132" s="1">
        <v>45085</v>
      </c>
      <c r="C132" s="7">
        <v>-82.7</v>
      </c>
      <c r="D132" t="s">
        <v>11</v>
      </c>
    </row>
    <row r="133" spans="2:4" x14ac:dyDescent="0.25">
      <c r="B133" s="1">
        <v>45086</v>
      </c>
      <c r="C133" s="7">
        <v>-599</v>
      </c>
      <c r="D133" t="s">
        <v>46</v>
      </c>
    </row>
    <row r="134" spans="2:4" x14ac:dyDescent="0.25">
      <c r="B134" s="1">
        <v>45086</v>
      </c>
      <c r="C134" s="7">
        <v>-55</v>
      </c>
      <c r="D134" t="s">
        <v>11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69390-FA50-4AB8-BECE-6E34D8143515}">
  <sheetPr codeName="Planilha4"/>
  <dimension ref="B2:N14"/>
  <sheetViews>
    <sheetView workbookViewId="0">
      <selection activeCell="H9" sqref="H9"/>
    </sheetView>
  </sheetViews>
  <sheetFormatPr defaultRowHeight="15" x14ac:dyDescent="0.25"/>
  <cols>
    <col min="2" max="2" width="11" customWidth="1"/>
    <col min="3" max="3" width="12.42578125" style="2" bestFit="1" customWidth="1"/>
    <col min="4" max="4" width="11.7109375" style="2" customWidth="1"/>
    <col min="5" max="5" width="17.42578125" style="4" bestFit="1" customWidth="1"/>
    <col min="6" max="7" width="17.42578125" style="4" customWidth="1"/>
    <col min="8" max="8" width="13.28515625" bestFit="1" customWidth="1"/>
    <col min="9" max="9" width="10.7109375" bestFit="1" customWidth="1"/>
    <col min="10" max="11" width="13.28515625" customWidth="1"/>
    <col min="12" max="12" width="13.28515625" bestFit="1" customWidth="1"/>
    <col min="14" max="14" width="10.7109375" bestFit="1" customWidth="1"/>
  </cols>
  <sheetData>
    <row r="2" spans="2:14" x14ac:dyDescent="0.25">
      <c r="B2" t="s">
        <v>12</v>
      </c>
      <c r="C2" s="2" t="s">
        <v>13</v>
      </c>
      <c r="D2" s="2" t="s">
        <v>14</v>
      </c>
      <c r="E2" s="4" t="s">
        <v>15</v>
      </c>
      <c r="F2" s="4" t="s">
        <v>16</v>
      </c>
      <c r="G2" s="4" t="s">
        <v>17</v>
      </c>
      <c r="H2" t="s">
        <v>18</v>
      </c>
      <c r="I2" t="s">
        <v>19</v>
      </c>
      <c r="J2" t="s">
        <v>20</v>
      </c>
      <c r="K2" t="s">
        <v>44</v>
      </c>
      <c r="L2" t="s">
        <v>21</v>
      </c>
      <c r="M2" t="s">
        <v>22</v>
      </c>
    </row>
    <row r="3" spans="2:14" x14ac:dyDescent="0.25">
      <c r="B3" t="s">
        <v>23</v>
      </c>
      <c r="C3" s="2">
        <v>10250</v>
      </c>
      <c r="D3" s="2">
        <v>4500</v>
      </c>
      <c r="E3" s="4">
        <f t="shared" ref="E3:E9" si="0">599*H3</f>
        <v>2652.7142857142858</v>
      </c>
      <c r="F3" s="4">
        <f>100*26</f>
        <v>2600</v>
      </c>
      <c r="G3" s="4">
        <f>10*26</f>
        <v>260</v>
      </c>
      <c r="H3" s="11">
        <f>31/7</f>
        <v>4.4285714285714288</v>
      </c>
      <c r="I3" s="2">
        <f>C3/H3</f>
        <v>2314.516129032258</v>
      </c>
      <c r="J3" s="2">
        <f>I3/6</f>
        <v>385.75268817204301</v>
      </c>
      <c r="K3" s="2">
        <f>J3*26</f>
        <v>10029.569892473119</v>
      </c>
      <c r="L3" s="2">
        <f>E3/26+F3/26+G3/26</f>
        <v>212.02747252747253</v>
      </c>
      <c r="M3">
        <v>1</v>
      </c>
      <c r="N3" s="2"/>
    </row>
    <row r="4" spans="2:14" x14ac:dyDescent="0.25">
      <c r="B4" t="s">
        <v>24</v>
      </c>
      <c r="C4" s="2">
        <v>10250</v>
      </c>
      <c r="D4" s="2">
        <v>4500</v>
      </c>
      <c r="E4" s="4">
        <f t="shared" si="0"/>
        <v>2396</v>
      </c>
      <c r="F4" s="4">
        <f t="shared" ref="F4:F14" si="1">100*26</f>
        <v>2600</v>
      </c>
      <c r="G4" s="4">
        <f t="shared" ref="G4:G14" si="2">10*26</f>
        <v>260</v>
      </c>
      <c r="H4" s="11">
        <f>28/7</f>
        <v>4</v>
      </c>
      <c r="I4" s="2">
        <f t="shared" ref="I4:I14" si="3">C4/H4</f>
        <v>2562.5</v>
      </c>
      <c r="J4" s="2">
        <f t="shared" ref="J4:J14" si="4">I4/6</f>
        <v>427.08333333333331</v>
      </c>
      <c r="K4" s="2">
        <f t="shared" ref="K4:K14" si="5">J4*26</f>
        <v>11104.166666666666</v>
      </c>
      <c r="L4" s="2">
        <f t="shared" ref="L4:L14" si="6">E4/26+F4/26+G4/26</f>
        <v>202.15384615384616</v>
      </c>
      <c r="M4">
        <v>2</v>
      </c>
      <c r="N4" s="2"/>
    </row>
    <row r="5" spans="2:14" x14ac:dyDescent="0.25">
      <c r="B5" t="s">
        <v>25</v>
      </c>
      <c r="C5" s="2">
        <v>10250</v>
      </c>
      <c r="D5" s="2">
        <v>4500</v>
      </c>
      <c r="E5" s="4">
        <f t="shared" si="0"/>
        <v>2652.7142857142858</v>
      </c>
      <c r="F5" s="4">
        <f t="shared" si="1"/>
        <v>2600</v>
      </c>
      <c r="G5" s="4">
        <f t="shared" si="2"/>
        <v>260</v>
      </c>
      <c r="H5" s="11">
        <f>31/7</f>
        <v>4.4285714285714288</v>
      </c>
      <c r="I5" s="2">
        <f>C5/H5</f>
        <v>2314.516129032258</v>
      </c>
      <c r="J5" s="2">
        <f t="shared" si="4"/>
        <v>385.75268817204301</v>
      </c>
      <c r="K5" s="2">
        <f t="shared" si="5"/>
        <v>10029.569892473119</v>
      </c>
      <c r="L5" s="2">
        <f t="shared" si="6"/>
        <v>212.02747252747253</v>
      </c>
      <c r="M5">
        <v>3</v>
      </c>
      <c r="N5" s="2"/>
    </row>
    <row r="6" spans="2:14" x14ac:dyDescent="0.25">
      <c r="B6" t="s">
        <v>26</v>
      </c>
      <c r="C6" s="2">
        <v>10250</v>
      </c>
      <c r="D6" s="2">
        <v>4500</v>
      </c>
      <c r="E6" s="4">
        <f t="shared" si="0"/>
        <v>2567.1428571428569</v>
      </c>
      <c r="F6" s="4">
        <f t="shared" si="1"/>
        <v>2600</v>
      </c>
      <c r="G6" s="4">
        <f t="shared" si="2"/>
        <v>260</v>
      </c>
      <c r="H6" s="11">
        <f>30/7</f>
        <v>4.2857142857142856</v>
      </c>
      <c r="I6" s="2">
        <f>C6/H6</f>
        <v>2391.6666666666665</v>
      </c>
      <c r="J6" s="2">
        <f>I6/6</f>
        <v>398.61111111111109</v>
      </c>
      <c r="K6" s="2">
        <f t="shared" si="5"/>
        <v>10363.888888888889</v>
      </c>
      <c r="L6" s="2">
        <f t="shared" si="6"/>
        <v>208.73626373626371</v>
      </c>
      <c r="M6">
        <v>4</v>
      </c>
      <c r="N6" s="2"/>
    </row>
    <row r="7" spans="2:14" x14ac:dyDescent="0.25">
      <c r="B7" t="s">
        <v>27</v>
      </c>
      <c r="C7" s="2">
        <v>10250</v>
      </c>
      <c r="D7" s="2">
        <v>4500</v>
      </c>
      <c r="E7" s="4">
        <f t="shared" si="0"/>
        <v>2652.7142857142858</v>
      </c>
      <c r="F7" s="4">
        <f t="shared" si="1"/>
        <v>2600</v>
      </c>
      <c r="G7" s="4">
        <f t="shared" si="2"/>
        <v>260</v>
      </c>
      <c r="H7" s="11">
        <f>31/7</f>
        <v>4.4285714285714288</v>
      </c>
      <c r="I7" s="2">
        <f>C7/H7</f>
        <v>2314.516129032258</v>
      </c>
      <c r="J7" s="2">
        <f>I7/6</f>
        <v>385.75268817204301</v>
      </c>
      <c r="K7" s="2">
        <f t="shared" si="5"/>
        <v>10029.569892473119</v>
      </c>
      <c r="L7" s="2">
        <f t="shared" si="6"/>
        <v>212.02747252747253</v>
      </c>
      <c r="M7">
        <v>5</v>
      </c>
      <c r="N7" s="2"/>
    </row>
    <row r="8" spans="2:14" x14ac:dyDescent="0.25">
      <c r="B8" t="s">
        <v>28</v>
      </c>
      <c r="C8" s="2">
        <v>10250</v>
      </c>
      <c r="D8" s="2">
        <v>4500</v>
      </c>
      <c r="E8" s="4">
        <f t="shared" si="0"/>
        <v>2567.1428571428569</v>
      </c>
      <c r="F8" s="4">
        <f t="shared" si="1"/>
        <v>2600</v>
      </c>
      <c r="G8" s="4">
        <f t="shared" si="2"/>
        <v>260</v>
      </c>
      <c r="H8" s="11">
        <f>30/7</f>
        <v>4.2857142857142856</v>
      </c>
      <c r="I8" s="2">
        <f t="shared" si="3"/>
        <v>2391.6666666666665</v>
      </c>
      <c r="J8" s="2">
        <f t="shared" si="4"/>
        <v>398.61111111111109</v>
      </c>
      <c r="K8" s="2">
        <f t="shared" si="5"/>
        <v>10363.888888888889</v>
      </c>
      <c r="L8" s="2">
        <f t="shared" si="6"/>
        <v>208.73626373626371</v>
      </c>
      <c r="M8">
        <v>6</v>
      </c>
      <c r="N8" s="2"/>
    </row>
    <row r="9" spans="2:14" x14ac:dyDescent="0.25">
      <c r="B9" t="s">
        <v>29</v>
      </c>
      <c r="C9" s="2">
        <v>10250</v>
      </c>
      <c r="D9" s="2">
        <v>4500</v>
      </c>
      <c r="E9" s="4">
        <f t="shared" si="0"/>
        <v>2652.7142857142858</v>
      </c>
      <c r="F9" s="4">
        <f t="shared" si="1"/>
        <v>2600</v>
      </c>
      <c r="G9" s="4">
        <f>10*26</f>
        <v>260</v>
      </c>
      <c r="H9" s="11">
        <f>31/7</f>
        <v>4.4285714285714288</v>
      </c>
      <c r="I9" s="2">
        <f t="shared" si="3"/>
        <v>2314.516129032258</v>
      </c>
      <c r="J9" s="2">
        <f t="shared" si="4"/>
        <v>385.75268817204301</v>
      </c>
      <c r="K9" s="2">
        <f t="shared" si="5"/>
        <v>10029.569892473119</v>
      </c>
      <c r="L9" s="2">
        <f t="shared" si="6"/>
        <v>212.02747252747253</v>
      </c>
      <c r="M9">
        <v>7</v>
      </c>
      <c r="N9" s="2"/>
    </row>
    <row r="10" spans="2:14" x14ac:dyDescent="0.25">
      <c r="B10" t="s">
        <v>30</v>
      </c>
      <c r="C10" s="2">
        <v>10250</v>
      </c>
      <c r="D10" s="2">
        <v>4500</v>
      </c>
      <c r="E10" s="4">
        <f t="shared" ref="E10:E14" si="7">599*H10</f>
        <v>2652.7142857142858</v>
      </c>
      <c r="F10" s="4">
        <f t="shared" si="1"/>
        <v>2600</v>
      </c>
      <c r="G10" s="4">
        <f t="shared" si="2"/>
        <v>260</v>
      </c>
      <c r="H10" s="11">
        <f t="shared" ref="H10:H14" si="8">31/7</f>
        <v>4.4285714285714288</v>
      </c>
      <c r="I10" s="2">
        <f t="shared" si="3"/>
        <v>2314.516129032258</v>
      </c>
      <c r="J10" s="2">
        <f t="shared" si="4"/>
        <v>385.75268817204301</v>
      </c>
      <c r="K10" s="2">
        <f t="shared" si="5"/>
        <v>10029.569892473119</v>
      </c>
      <c r="L10" s="2">
        <f t="shared" si="6"/>
        <v>212.02747252747253</v>
      </c>
      <c r="M10">
        <v>8</v>
      </c>
      <c r="N10" s="2"/>
    </row>
    <row r="11" spans="2:14" x14ac:dyDescent="0.25">
      <c r="B11" t="s">
        <v>31</v>
      </c>
      <c r="C11" s="2">
        <v>10250</v>
      </c>
      <c r="D11" s="2">
        <v>4500</v>
      </c>
      <c r="E11" s="4">
        <f t="shared" si="7"/>
        <v>2567.1428571428569</v>
      </c>
      <c r="F11" s="4">
        <f t="shared" si="1"/>
        <v>2600</v>
      </c>
      <c r="G11" s="4">
        <f t="shared" si="2"/>
        <v>260</v>
      </c>
      <c r="H11" s="11">
        <f>30/7</f>
        <v>4.2857142857142856</v>
      </c>
      <c r="I11" s="2">
        <f t="shared" si="3"/>
        <v>2391.6666666666665</v>
      </c>
      <c r="J11" s="2">
        <f t="shared" si="4"/>
        <v>398.61111111111109</v>
      </c>
      <c r="K11" s="2">
        <f t="shared" si="5"/>
        <v>10363.888888888889</v>
      </c>
      <c r="L11" s="2">
        <f t="shared" si="6"/>
        <v>208.73626373626371</v>
      </c>
      <c r="M11">
        <v>9</v>
      </c>
      <c r="N11" s="2"/>
    </row>
    <row r="12" spans="2:14" x14ac:dyDescent="0.25">
      <c r="B12" t="s">
        <v>32</v>
      </c>
      <c r="C12" s="2">
        <v>10250</v>
      </c>
      <c r="D12" s="2">
        <v>4500</v>
      </c>
      <c r="E12" s="4">
        <f t="shared" si="7"/>
        <v>2652.7142857142858</v>
      </c>
      <c r="F12" s="4">
        <f t="shared" si="1"/>
        <v>2600</v>
      </c>
      <c r="G12" s="4">
        <f t="shared" si="2"/>
        <v>260</v>
      </c>
      <c r="H12" s="11">
        <f>31/7</f>
        <v>4.4285714285714288</v>
      </c>
      <c r="I12" s="2">
        <f t="shared" si="3"/>
        <v>2314.516129032258</v>
      </c>
      <c r="J12" s="2">
        <f t="shared" si="4"/>
        <v>385.75268817204301</v>
      </c>
      <c r="K12" s="2">
        <f t="shared" si="5"/>
        <v>10029.569892473119</v>
      </c>
      <c r="L12" s="2">
        <f t="shared" si="6"/>
        <v>212.02747252747253</v>
      </c>
      <c r="M12">
        <v>10</v>
      </c>
      <c r="N12" s="2"/>
    </row>
    <row r="13" spans="2:14" x14ac:dyDescent="0.25">
      <c r="B13" t="s">
        <v>33</v>
      </c>
      <c r="C13" s="2">
        <v>10250</v>
      </c>
      <c r="D13" s="2">
        <v>4500</v>
      </c>
      <c r="E13" s="4">
        <f t="shared" si="7"/>
        <v>2567.1428571428569</v>
      </c>
      <c r="F13" s="4">
        <f t="shared" si="1"/>
        <v>2600</v>
      </c>
      <c r="G13" s="4">
        <f t="shared" si="2"/>
        <v>260</v>
      </c>
      <c r="H13" s="11">
        <f>30/7</f>
        <v>4.2857142857142856</v>
      </c>
      <c r="I13" s="2">
        <f t="shared" si="3"/>
        <v>2391.6666666666665</v>
      </c>
      <c r="J13" s="2">
        <f t="shared" si="4"/>
        <v>398.61111111111109</v>
      </c>
      <c r="K13" s="2">
        <f t="shared" si="5"/>
        <v>10363.888888888889</v>
      </c>
      <c r="L13" s="2">
        <f t="shared" si="6"/>
        <v>208.73626373626371</v>
      </c>
      <c r="M13">
        <v>11</v>
      </c>
      <c r="N13" s="2"/>
    </row>
    <row r="14" spans="2:14" x14ac:dyDescent="0.25">
      <c r="B14" t="s">
        <v>34</v>
      </c>
      <c r="C14" s="2">
        <v>10250</v>
      </c>
      <c r="D14" s="2">
        <v>4500</v>
      </c>
      <c r="E14" s="4">
        <f t="shared" si="7"/>
        <v>2652.7142857142858</v>
      </c>
      <c r="F14" s="4">
        <f t="shared" si="1"/>
        <v>2600</v>
      </c>
      <c r="G14" s="4">
        <f t="shared" si="2"/>
        <v>260</v>
      </c>
      <c r="H14" s="11">
        <f t="shared" si="8"/>
        <v>4.4285714285714288</v>
      </c>
      <c r="I14" s="2">
        <f t="shared" si="3"/>
        <v>2314.516129032258</v>
      </c>
      <c r="J14" s="2">
        <f t="shared" si="4"/>
        <v>385.75268817204301</v>
      </c>
      <c r="K14" s="2">
        <f t="shared" si="5"/>
        <v>10029.569892473119</v>
      </c>
      <c r="L14" s="2">
        <f t="shared" si="6"/>
        <v>212.02747252747253</v>
      </c>
      <c r="M14">
        <v>12</v>
      </c>
      <c r="N14" s="2"/>
    </row>
  </sheetData>
  <phoneticPr fontId="1" type="noConversion"/>
  <pageMargins left="0.511811024" right="0.511811024" top="0.78740157499999996" bottom="0.78740157499999996" header="0.31496062000000002" footer="0.31496062000000002"/>
  <ignoredErrors>
    <ignoredError sqref="H11 H13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06246-9BA6-4D0E-95C9-66EE0F79A8E7}">
  <sheetPr codeName="Planilha8"/>
  <dimension ref="A1:AG42"/>
  <sheetViews>
    <sheetView workbookViewId="0">
      <selection activeCell="B40" sqref="B40"/>
    </sheetView>
  </sheetViews>
  <sheetFormatPr defaultColWidth="0" defaultRowHeight="15" zeroHeight="1" x14ac:dyDescent="0.25"/>
  <cols>
    <col min="1" max="10" width="9.140625" customWidth="1"/>
    <col min="11" max="11" width="11.7109375" bestFit="1" customWidth="1"/>
    <col min="12" max="29" width="9.140625" customWidth="1"/>
    <col min="30" max="31" width="9.140625" hidden="1" customWidth="1"/>
    <col min="32" max="32" width="5.5703125" hidden="1" customWidth="1"/>
    <col min="33" max="33" width="5" hidden="1" customWidth="1"/>
    <col min="34" max="16384" width="9.140625" hidden="1"/>
  </cols>
  <sheetData>
    <row r="1" spans="1:29" x14ac:dyDescent="0.25"/>
    <row r="2" spans="1:29" x14ac:dyDescent="0.25"/>
    <row r="3" spans="1:29" x14ac:dyDescent="0.25"/>
    <row r="4" spans="1:29" x14ac:dyDescent="0.25"/>
    <row r="5" spans="1:29" x14ac:dyDescent="0.2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</row>
    <row r="6" spans="1:29" x14ac:dyDescent="0.25">
      <c r="A6" s="8"/>
      <c r="B6" s="8"/>
      <c r="C6" s="8"/>
      <c r="D6" s="8"/>
      <c r="E6" s="12" t="s">
        <v>35</v>
      </c>
      <c r="F6" s="12"/>
      <c r="G6" s="8"/>
      <c r="H6" s="8"/>
      <c r="I6" s="8" t="s">
        <v>36</v>
      </c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</row>
    <row r="7" spans="1:29" ht="15" customHeight="1" x14ac:dyDescent="0.25">
      <c r="A7" s="8"/>
      <c r="B7" s="8"/>
      <c r="C7" s="8"/>
      <c r="D7" s="8"/>
      <c r="E7" s="19">
        <v>44857</v>
      </c>
      <c r="F7" s="20"/>
      <c r="G7" s="8"/>
      <c r="H7" s="15" t="str">
        <f>IF(K7&gt;0,"A meta foi batida e o valor a mais feito foi:","A meta não foi batida e o valor faltante foi:")</f>
        <v>A meta foi batida e o valor a mais feito foi:</v>
      </c>
      <c r="I7" s="16"/>
      <c r="J7" s="16"/>
      <c r="K7" s="13">
        <f>VLOOKUP(E7,Ganhos!B3:G1048576,2,0)</f>
        <v>805.28</v>
      </c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</row>
    <row r="8" spans="1:29" x14ac:dyDescent="0.25">
      <c r="A8" s="8"/>
      <c r="B8" s="8"/>
      <c r="C8" s="8"/>
      <c r="D8" s="8"/>
      <c r="E8" s="21"/>
      <c r="F8" s="22"/>
      <c r="G8" s="8"/>
      <c r="H8" s="17"/>
      <c r="I8" s="18"/>
      <c r="J8" s="18"/>
      <c r="K8" s="14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</row>
    <row r="9" spans="1:29" x14ac:dyDescent="0.2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</row>
    <row r="10" spans="1:29" x14ac:dyDescent="0.2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</row>
    <row r="11" spans="1:29" x14ac:dyDescent="0.25">
      <c r="A11" s="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</row>
    <row r="12" spans="1:29" x14ac:dyDescent="0.25">
      <c r="A12" s="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</row>
    <row r="13" spans="1:29" x14ac:dyDescent="0.25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</row>
    <row r="14" spans="1:29" x14ac:dyDescent="0.25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</row>
    <row r="15" spans="1:29" x14ac:dyDescent="0.25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</row>
    <row r="16" spans="1:29" x14ac:dyDescent="0.25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</row>
    <row r="17" spans="1:29" x14ac:dyDescent="0.25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</row>
    <row r="18" spans="1:29" x14ac:dyDescent="0.25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</row>
    <row r="19" spans="1:29" x14ac:dyDescent="0.25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</row>
    <row r="20" spans="1:29" x14ac:dyDescent="0.25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</row>
    <row r="21" spans="1:29" x14ac:dyDescent="0.25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</row>
    <row r="22" spans="1:29" x14ac:dyDescent="0.25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</row>
    <row r="23" spans="1:29" x14ac:dyDescent="0.25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</row>
    <row r="24" spans="1:29" x14ac:dyDescent="0.25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</row>
    <row r="25" spans="1:29" x14ac:dyDescent="0.25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</row>
    <row r="26" spans="1:29" x14ac:dyDescent="0.25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</row>
    <row r="27" spans="1:29" x14ac:dyDescent="0.25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</row>
    <row r="28" spans="1:29" x14ac:dyDescent="0.25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</row>
    <row r="29" spans="1:29" x14ac:dyDescent="0.25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</row>
    <row r="30" spans="1:29" x14ac:dyDescent="0.25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</row>
    <row r="31" spans="1:29" x14ac:dyDescent="0.25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</row>
    <row r="32" spans="1:29" x14ac:dyDescent="0.25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</row>
    <row r="33" spans="1:29" x14ac:dyDescent="0.25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</row>
    <row r="34" spans="1:29" x14ac:dyDescent="0.25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</row>
    <row r="35" spans="1:29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</row>
    <row r="36" spans="1:29" x14ac:dyDescent="0.25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</row>
    <row r="37" spans="1:29" x14ac:dyDescent="0.25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</row>
    <row r="38" spans="1:29" x14ac:dyDescent="0.25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</row>
    <row r="39" spans="1:29" x14ac:dyDescent="0.25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</row>
    <row r="40" spans="1:29" x14ac:dyDescent="0.25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</row>
    <row r="41" spans="1:29" x14ac:dyDescent="0.25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</row>
    <row r="42" spans="1:29" x14ac:dyDescent="0.25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</row>
  </sheetData>
  <mergeCells count="4">
    <mergeCell ref="E6:F6"/>
    <mergeCell ref="K7:K8"/>
    <mergeCell ref="H7:J8"/>
    <mergeCell ref="E7:F8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9BF3981-AAAB-440F-B519-FDC4F3F6298A}">
          <x14:formula1>
            <xm:f>Ganhos!$B:$B</xm:f>
          </x14:formula1>
          <xm:sqref>E7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9779C-A2F5-4524-B44D-BFE3040F0B88}">
  <sheetPr codeName="Planilha1"/>
  <dimension ref="B2:C7"/>
  <sheetViews>
    <sheetView workbookViewId="0">
      <selection activeCell="I29" sqref="I29"/>
    </sheetView>
  </sheetViews>
  <sheetFormatPr defaultRowHeight="15" x14ac:dyDescent="0.25"/>
  <cols>
    <col min="2" max="2" width="17.85546875" bestFit="1" customWidth="1"/>
    <col min="3" max="3" width="19.5703125" bestFit="1" customWidth="1"/>
  </cols>
  <sheetData>
    <row r="2" spans="2:3" x14ac:dyDescent="0.25">
      <c r="B2" t="s">
        <v>37</v>
      </c>
      <c r="C2" t="s">
        <v>38</v>
      </c>
    </row>
    <row r="3" spans="2:3" x14ac:dyDescent="0.25">
      <c r="B3" t="s">
        <v>6</v>
      </c>
      <c r="C3" t="s">
        <v>11</v>
      </c>
    </row>
    <row r="4" spans="2:3" x14ac:dyDescent="0.25">
      <c r="B4" s="6">
        <v>99</v>
      </c>
      <c r="C4" t="s">
        <v>39</v>
      </c>
    </row>
    <row r="5" spans="2:3" x14ac:dyDescent="0.25">
      <c r="B5" t="s">
        <v>7</v>
      </c>
      <c r="C5" t="s">
        <v>40</v>
      </c>
    </row>
    <row r="6" spans="2:3" x14ac:dyDescent="0.25">
      <c r="B6" t="s">
        <v>41</v>
      </c>
      <c r="C6" t="s">
        <v>42</v>
      </c>
    </row>
    <row r="7" spans="2:3" x14ac:dyDescent="0.25">
      <c r="C7" t="s">
        <v>43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80FAD7-C32B-4565-89D3-98343E71521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3</vt:i4>
      </vt:variant>
    </vt:vector>
  </HeadingPairs>
  <TitlesOfParts>
    <vt:vector size="11" baseType="lpstr">
      <vt:lpstr>Cadastro</vt:lpstr>
      <vt:lpstr>CadastroGanhos</vt:lpstr>
      <vt:lpstr>CadastroDespesas</vt:lpstr>
      <vt:lpstr>Ganhos</vt:lpstr>
      <vt:lpstr>Despesas</vt:lpstr>
      <vt:lpstr>Metas</vt:lpstr>
      <vt:lpstr>Dashboard</vt:lpstr>
      <vt:lpstr>AbaDeApoio</vt:lpstr>
      <vt:lpstr>Cadastro!Tela</vt:lpstr>
      <vt:lpstr>CadastroDespesas!Tela</vt:lpstr>
      <vt:lpstr>CadastroGanhos!Tela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Mateus Pedroso</dc:creator>
  <cp:keywords/>
  <dc:description/>
  <cp:lastModifiedBy>Mateus Pedroso</cp:lastModifiedBy>
  <cp:revision/>
  <dcterms:created xsi:type="dcterms:W3CDTF">2023-04-26T16:52:25Z</dcterms:created>
  <dcterms:modified xsi:type="dcterms:W3CDTF">2023-06-10T14:09:11Z</dcterms:modified>
  <cp:category/>
  <cp:contentStatus/>
</cp:coreProperties>
</file>